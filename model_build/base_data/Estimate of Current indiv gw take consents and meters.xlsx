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YMULT_small_projects\Z22031HAW_hawea-model\Data\"/>
    </mc:Choice>
  </mc:AlternateContent>
  <xr:revisionPtr revIDLastSave="0" documentId="8_{4F9402AB-BDD2-46B3-8CA4-9BC5A101F8A4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Extract from Otago Maps" sheetId="1" r:id="rId1"/>
    <sheet name="Amalgated take data" sheetId="2" r:id="rId2"/>
  </sheets>
  <definedNames>
    <definedName name="_xlnm._FilterDatabase" localSheetId="1" hidden="1">'Amalgated take data'!$A$1:$AI$41</definedName>
    <definedName name="_xlnm._FilterDatabase" localSheetId="0" hidden="1">'Extract from Otago Maps'!$B$1:$V$44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47" i="1" l="1"/>
  <c r="AT46" i="1"/>
  <c r="AT39" i="1" l="1"/>
  <c r="AT36" i="1"/>
  <c r="AT32" i="1"/>
  <c r="AT22" i="1"/>
  <c r="AT13" i="1"/>
  <c r="AT18" i="1"/>
  <c r="AT16" i="1"/>
  <c r="AT14" i="1"/>
  <c r="AT11" i="1"/>
  <c r="AT10" i="1"/>
  <c r="AT5" i="1"/>
  <c r="AT3" i="1"/>
  <c r="AT2" i="1"/>
  <c r="Y38" i="1"/>
  <c r="Y34" i="1"/>
  <c r="Y43" i="1"/>
  <c r="Y42" i="1"/>
  <c r="Y40" i="1"/>
  <c r="Y35" i="1"/>
  <c r="Y33" i="1"/>
  <c r="Y31" i="1"/>
  <c r="Y30" i="1"/>
  <c r="Y29" i="1"/>
  <c r="Y28" i="1"/>
  <c r="Y27" i="1"/>
  <c r="Y26" i="1"/>
  <c r="Y25" i="1"/>
  <c r="Y24" i="1"/>
  <c r="Y23" i="1"/>
  <c r="Y21" i="1"/>
  <c r="Y20" i="1"/>
  <c r="Y19" i="1"/>
  <c r="Y18" i="1"/>
  <c r="Y17" i="1"/>
  <c r="Y16" i="1"/>
  <c r="Y15" i="1"/>
  <c r="Y14" i="1"/>
  <c r="Y12" i="1"/>
  <c r="Y11" i="1"/>
  <c r="Y10" i="1"/>
  <c r="Y9" i="1"/>
  <c r="Y8" i="1"/>
  <c r="Y7" i="1"/>
  <c r="Y6" i="1"/>
  <c r="Y5" i="1"/>
  <c r="Y4" i="1"/>
  <c r="Y3" i="1"/>
  <c r="Y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Jens Rekker</author>
  </authors>
  <commentList>
    <comment ref="AN2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Jens Rekker:</t>
        </r>
        <r>
          <rPr>
            <sz val="9"/>
            <color indexed="81"/>
            <rFont val="Tahoma"/>
            <family val="2"/>
          </rPr>
          <t xml:space="preserve">
Bore 1 (G40/0299) 6.3 l/s
Bore 2 (G40/0310) 35 l/s
Bore 3 (G40/0311) 55 l/s
</t>
        </r>
      </text>
    </comment>
    <comment ref="BT3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Jens Rekker:</t>
        </r>
        <r>
          <rPr>
            <sz val="9"/>
            <color indexed="81"/>
            <rFont val="Tahoma"/>
            <family val="2"/>
          </rPr>
          <t xml:space="preserve">
F41/0119
F41/0263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JHRek</author>
    <author>Jens Rekker</author>
  </authors>
  <commentList>
    <comment ref="A25" authorId="0" shapeId="0" xr:uid="{4B0B8E50-5789-448C-AF8B-78D029D379CF}">
      <text>
        <r>
          <rPr>
            <b/>
            <sz val="9"/>
            <color indexed="81"/>
            <rFont val="Tahoma"/>
            <family val="2"/>
          </rPr>
          <t>JHRek:</t>
        </r>
        <r>
          <rPr>
            <sz val="9"/>
            <color indexed="81"/>
            <rFont val="Tahoma"/>
            <family val="2"/>
          </rPr>
          <t xml:space="preserve">
Bore 1 (G40/0299) 6.3 l/s</t>
        </r>
      </text>
    </comment>
    <comment ref="B25" authorId="0" shapeId="0" xr:uid="{BAE932F1-A106-452A-ABFC-33DBB4865043}">
      <text>
        <r>
          <rPr>
            <b/>
            <sz val="9"/>
            <color indexed="81"/>
            <rFont val="Tahoma"/>
            <family val="2"/>
          </rPr>
          <t>JHRek:</t>
        </r>
        <r>
          <rPr>
            <sz val="9"/>
            <color indexed="81"/>
            <rFont val="Tahoma"/>
            <family val="2"/>
          </rPr>
          <t xml:space="preserve">
Bore 2 (G40/0310) 35 l/s
</t>
        </r>
      </text>
    </comment>
    <comment ref="C25" authorId="0" shapeId="0" xr:uid="{975A0291-C676-405F-B911-471BBD95CD09}">
      <text>
        <r>
          <rPr>
            <b/>
            <sz val="9"/>
            <color indexed="81"/>
            <rFont val="Tahoma"/>
            <family val="2"/>
          </rPr>
          <t>JHRek:</t>
        </r>
        <r>
          <rPr>
            <sz val="9"/>
            <color indexed="81"/>
            <rFont val="Tahoma"/>
            <family val="2"/>
          </rPr>
          <t xml:space="preserve">
Bore 3 (G40/0311) 55 l/s</t>
        </r>
      </text>
    </comment>
    <comment ref="Q25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Jens Rekker:</t>
        </r>
        <r>
          <rPr>
            <sz val="9"/>
            <color indexed="81"/>
            <rFont val="Tahoma"/>
            <family val="2"/>
          </rPr>
          <t xml:space="preserve">
Bore 1 (G40/0299) 6.3 l/s
Bore 2 (G40/0310) 35 l/s
Bore 3 (G40/0311) 55 l/s
</t>
        </r>
      </text>
    </comment>
    <comment ref="Q32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Jens Rekker:</t>
        </r>
        <r>
          <rPr>
            <sz val="9"/>
            <color indexed="81"/>
            <rFont val="Tahoma"/>
            <family val="2"/>
          </rPr>
          <t xml:space="preserve">
F41/0119
F41/0263</t>
        </r>
      </text>
    </comment>
    <comment ref="A34" authorId="0" shapeId="0" xr:uid="{3E70E9E7-70CD-46AA-94EC-0544CDE5C386}">
      <text>
        <r>
          <rPr>
            <b/>
            <sz val="9"/>
            <color indexed="81"/>
            <rFont val="Tahoma"/>
            <family val="2"/>
          </rPr>
          <t>JHRek:</t>
        </r>
        <r>
          <rPr>
            <sz val="9"/>
            <color indexed="81"/>
            <rFont val="Tahoma"/>
            <family val="2"/>
          </rPr>
          <t xml:space="preserve">
WB9A</t>
        </r>
      </text>
    </comment>
  </commentList>
</comments>
</file>

<file path=xl/sharedStrings.xml><?xml version="1.0" encoding="utf-8"?>
<sst xmlns="http://schemas.openxmlformats.org/spreadsheetml/2006/main" count="1601" uniqueCount="450">
  <si>
    <t>OBJECTID</t>
  </si>
  <si>
    <t>ConsentNumber</t>
  </si>
  <si>
    <t>ConsentType</t>
  </si>
  <si>
    <t>ConsentStatus</t>
  </si>
  <si>
    <t>B1_PER_ID1</t>
  </si>
  <si>
    <t>B1_PER_ID2</t>
  </si>
  <si>
    <t>B1_PER_ID3</t>
  </si>
  <si>
    <t>ConsentHolder</t>
  </si>
  <si>
    <t>PostalAddress</t>
  </si>
  <si>
    <t>Easting</t>
  </si>
  <si>
    <t>Northing</t>
  </si>
  <si>
    <t>MapReference</t>
  </si>
  <si>
    <t>ConsentExpiryDate</t>
  </si>
  <si>
    <t>DistrictAuthority</t>
  </si>
  <si>
    <t>PurposeActivity</t>
  </si>
  <si>
    <t>ConsentCatchment</t>
  </si>
  <si>
    <t>UpdateDate</t>
  </si>
  <si>
    <t>Shape</t>
  </si>
  <si>
    <t>GlobalID</t>
  </si>
  <si>
    <t>x</t>
  </si>
  <si>
    <t>y</t>
  </si>
  <si>
    <t>wkid</t>
  </si>
  <si>
    <t>Groundwater Take Permit</t>
  </si>
  <si>
    <t>Current</t>
  </si>
  <si>
    <t>00TMP</t>
  </si>
  <si>
    <t>Stuart Harold McMaster</t>
  </si>
  <si>
    <t>838 Lake Hawea-Albert Town Road, RD 2, Wanaka 9382</t>
  </si>
  <si>
    <t>G40:111-118</t>
  </si>
  <si>
    <t>Queenstown Lakes District</t>
  </si>
  <si>
    <t>To take water from a bore for the purposes of communal and stock water use at a location on the Albert Town to Hawea Road, Hawea.</t>
  </si>
  <si>
    <t>{CACF03ED-C880-4904-9D73-759D29A22074}</t>
  </si>
  <si>
    <t>Robert Pringle</t>
  </si>
  <si>
    <t>280 Riccarton Road, Upper Riccarton, Christchurch 8041</t>
  </si>
  <si>
    <t>G40:157-096</t>
  </si>
  <si>
    <t>***See filenote about location for when transfer comes in******Property now sold to Collet Investments Ltd, request for transfer has been sent 27 Jan 09*** To take 9,000 litres of water per day from a bore at corner of Newcastle and Kane Roads, Hawea Flat for the purpose of a communal water supply to three properties.</t>
  </si>
  <si>
    <t>{8946191D-9623-486F-8A84-C1CCE9FF94F9}</t>
  </si>
  <si>
    <t>2000.382.V1</t>
  </si>
  <si>
    <t>Graham John Pender</t>
  </si>
  <si>
    <t>837 Lake Hawea-Albert Town Road, RD 2, Wanaka 9382</t>
  </si>
  <si>
    <t>G40:106-114</t>
  </si>
  <si>
    <t>To take 95 cubic metres of water per day from a bore for the purpose of a communal and irrigation water supply to 9 properties and for stock water. Location of activity: approximately 1.56 kilometres south southwest of the intersection of Lake Hawea-Albert Town Road (State Highway 6) and Te Awa Road,  Maungawera, Wanaka</t>
  </si>
  <si>
    <t>{CA2B8ED2-9D99-477C-BDAF-205A2F7D7009}</t>
  </si>
  <si>
    <t>01TMP</t>
  </si>
  <si>
    <t>James Wilson Cooper and Jennifer Ruth Cooper</t>
  </si>
  <si>
    <t>C/- Devon Dairy Farms Ltd, PO Box 813, Wanaka 9343</t>
  </si>
  <si>
    <t>G40:154-079</t>
  </si>
  <si>
    <t>To take up to 1,000 cubic metres per day of groundwater at a rate of up to 16.7 litres per second from Gimmermore Farm, Watkins Road, Hawea Flat for the purpose of irrigation, communal supply and stock water.</t>
  </si>
  <si>
    <t>{C0CDAE92-5248-41A3-9117-3E5BA261214C}</t>
  </si>
  <si>
    <t>2002.159.V1</t>
  </si>
  <si>
    <t>02TMP</t>
  </si>
  <si>
    <t>McCarthy Brothers Limited</t>
  </si>
  <si>
    <t>PO Box 64, Wanaka 9343</t>
  </si>
  <si>
    <t>G40:161-119</t>
  </si>
  <si>
    <t>To take and use up to 2,484 cubic metres of water per day from a bore for the purpose of irrigation of farmland</t>
  </si>
  <si>
    <t>{3B4BB3C6-B176-434F-A3D2-B13D539D56AA}</t>
  </si>
  <si>
    <t>2002.427.V1</t>
  </si>
  <si>
    <t>Allan William Gillespie and Janice Ann Gillespie</t>
  </si>
  <si>
    <t>287 Maungawera Valley Road, RD 2, Wanaka 9382</t>
  </si>
  <si>
    <t>F40:078-122</t>
  </si>
  <si>
    <t>To take and use up to 9,072 cubic metres of groundwater per week, at a maximum rate of 15 litres per second over the period of 1 November to 30 April inclusive and 7 cubic metres per week at a maximum rate of 1 cubic metre per day over the period of 1 May to 31 October.For the purpose of irrigation of pasture and horticulture. Location: 5 metres south of Maungawera Road and approximately 3 kilometres west of State Highway 6, Wanaka</t>
  </si>
  <si>
    <t>{79321A25-8DFF-4649-AC78-FDC6828DC3E1}</t>
  </si>
  <si>
    <t>Camphill Estate Utilities Society Incorporated</t>
  </si>
  <si>
    <t>C/- J Kendall - Secretary, 120 A Lachlan Avenue, RD 2, Hawea Flat 9382</t>
  </si>
  <si>
    <t>G40:152-107</t>
  </si>
  <si>
    <t>To take and use groundwater for the purpose of domestic supply and irrigation, 10 metres south of Camphill Road and 430 metres west of Kane Road, Hawea Flat.</t>
  </si>
  <si>
    <t>{69598391-E2BB-4772-B894-6F895E6C7BC7}</t>
  </si>
  <si>
    <t>2003.076.V1</t>
  </si>
  <si>
    <t>03TMP</t>
  </si>
  <si>
    <t>Loach Road Utilities Society Incorporated</t>
  </si>
  <si>
    <t>25 Fort Place, RD 2, Hawea Flat 9382</t>
  </si>
  <si>
    <t>G40:151-092</t>
  </si>
  <si>
    <t>To take and use groundwater for the purpose of  communal water supply and irrigation. Location of activity: Corner of Patricks Way and Loach Road, Hawea Flat</t>
  </si>
  <si>
    <t>{43260EE2-5764-407F-BF4A-5A0A4406DFA7}</t>
  </si>
  <si>
    <t>Geoffrey John Ross, Justine Leigh Ross, Darren Christopher Abernethy being Trustees of the Ross Family Trust</t>
  </si>
  <si>
    <t>52 Balmacewan Road, Maori Hill, Dunedin 9014</t>
  </si>
  <si>
    <t>G40:161-147</t>
  </si>
  <si>
    <t>To take and use groundwater for the purpose of irrigating pastoral land.Location of activity: Adjacent to Gladstone Road, approximately 900 metres north-east of the intersection of Gray Road and Gladstone Road, and approximately 1 kilometre south of Lake Hawea.</t>
  </si>
  <si>
    <t>{2872D873-53ED-45A7-A156-C9B08B1AF742}</t>
  </si>
  <si>
    <t>2003.634.V1</t>
  </si>
  <si>
    <t>Colin Francis Clark</t>
  </si>
  <si>
    <t>314 Gladstone Road, RD 2, Wanaka 9382</t>
  </si>
  <si>
    <t>G40 161 138</t>
  </si>
  <si>
    <t>To take and use groundwater for the purpose of irrigation. Location of activity: 600 metres south of the intersection of Cemetery Road and Gladstone Road and 200 metres east of Gladstone Road, Hawea Flat.</t>
  </si>
  <si>
    <t>{C6A5794D-E24B-45EB-8AA8-77E47FDF1CD5}</t>
  </si>
  <si>
    <t>Lincoln University (Mount Grand)</t>
  </si>
  <si>
    <t>Attn: Christine Lyne, PO Box 85084, Lincoln University, Lincoln 7647</t>
  </si>
  <si>
    <t>G40:159-136</t>
  </si>
  <si>
    <t>To take and use groundwater for the purpose of irrigation.  Location of activity: Approximately 1.2 kilometres south east of the intersection of Gray Road and Gladstone Road, Hawea Flat.</t>
  </si>
  <si>
    <t>{31D234CE-5341-44D0-9191-9A464EE075F0}</t>
  </si>
  <si>
    <t>2004.005.V1</t>
  </si>
  <si>
    <t>04TMP</t>
  </si>
  <si>
    <t>G40 151 097</t>
  </si>
  <si>
    <t>To take and use groundwater for the purpose of communal domestic water supply. Location: Approximately 410 metres south east of the intersection of Lachlan Avenue and Paterson Drive, Hawea Flat</t>
  </si>
  <si>
    <t>{508E2512-678C-4AD3-95A1-D92B8B23FC01}</t>
  </si>
  <si>
    <t>Barry John Dodds and Sandra Joyce Dodds</t>
  </si>
  <si>
    <t>9 Long Grass Place, RD 2, Wanaka 9382</t>
  </si>
  <si>
    <t>G40:154-091</t>
  </si>
  <si>
    <t>To take and use groundwater for the purpose of communal domestic supply, irrigation of lawns and gardens, and incidental use.  Location:  15 Loach Road, approximately 55 metres south southeast of the intersection of Loach Road and Long Grass Place, Hawea Flat.</t>
  </si>
  <si>
    <t>{866D9831-E327-4AE1-BC8F-6FBF1AE15FBF}</t>
  </si>
  <si>
    <t>2004.884.V1</t>
  </si>
  <si>
    <t>Loess Lane Owners' Association Incorporated</t>
  </si>
  <si>
    <t>C/- Hamish Fraser, 221 Loess Lane, RD 2, Wanaka 9382</t>
  </si>
  <si>
    <t>G40 135 093</t>
  </si>
  <si>
    <t>To take and use groundwater for the purpose of irrigation and communal domestic supply</t>
  </si>
  <si>
    <t>{3850E611-F35A-413B-82E2-7E7088F10199}</t>
  </si>
  <si>
    <t>2005.369.V2</t>
  </si>
  <si>
    <t>05TMP</t>
  </si>
  <si>
    <t>Kane Road Utility Society Incorporated</t>
  </si>
  <si>
    <t>Attn: Lee-Ann Tombling, 51 Partridge Road, RD 2, Wanaka 9382</t>
  </si>
  <si>
    <t>G40 152 106</t>
  </si>
  <si>
    <t>To take and use groundwater for the purpose of communal domestic supply, stockwater and irrigation</t>
  </si>
  <si>
    <t>{0D755C14-5544-47CF-9E41-85462912052F}</t>
  </si>
  <si>
    <t>08TMP</t>
  </si>
  <si>
    <t>Yvonne Maria Phiskie and Barbara Frances Williams being Trustees of the Hillview Trust</t>
  </si>
  <si>
    <t>160 Hills Road, RD 1, Invercargill 9871</t>
  </si>
  <si>
    <t>G40:135-105</t>
  </si>
  <si>
    <t>To take and use groundwater for the purpose of single domestic supply and irrigation. Location of point of abstraction: Approximately 160 metres southeast of the intersection of Camp Hill Road and Butterfield Road, Hawea Flat, Hawea</t>
  </si>
  <si>
    <t>{82AC0634-C2BA-404F-B8E2-8E172718EB68}</t>
  </si>
  <si>
    <t>2005.374.V2</t>
  </si>
  <si>
    <t>10TMP</t>
  </si>
  <si>
    <t>Jolly Holdings Limited</t>
  </si>
  <si>
    <t>PO Box 704, Wanaka 9343</t>
  </si>
  <si>
    <t>G40:139-103</t>
  </si>
  <si>
    <t>To take and use groundwater from an unnamed pond for the purpose of washing gravel, concrete plant and equipment (including trucks), and for dust control.  Location: Adjacent to Camp Hill Road, Hawea Flat, approximately 4.6 kilometres from Lake Hawea.</t>
  </si>
  <si>
    <t>{BAFA7D07-09DF-4142-A417-F486DD33B5E0}</t>
  </si>
  <si>
    <t>RM11.257.01</t>
  </si>
  <si>
    <t>11CAP</t>
  </si>
  <si>
    <t>000PM</t>
  </si>
  <si>
    <t>G40 125 090</t>
  </si>
  <si>
    <t>To take and use groundwater for the purpose of irrigation</t>
  </si>
  <si>
    <t>{2872C554-D1C8-4BD4-8802-AB8CA9B6E407}</t>
  </si>
  <si>
    <t>RM11.352.01</t>
  </si>
  <si>
    <t>000X9</t>
  </si>
  <si>
    <t>G40 123 089</t>
  </si>
  <si>
    <t>{F35382B9-45F6-4F3B-8C92-99A71F8A2A9D}</t>
  </si>
  <si>
    <t>RM12.213.02</t>
  </si>
  <si>
    <t>12CAP</t>
  </si>
  <si>
    <t>000HS</t>
  </si>
  <si>
    <t>Devon Dairy Farms Limited</t>
  </si>
  <si>
    <t>PO Box 813, Wanaka 9343</t>
  </si>
  <si>
    <t>G40 123 077</t>
  </si>
  <si>
    <t>To take and use groundwater from the Hawea Basin for the purpose of stock, dairy shed use and irrigation</t>
  </si>
  <si>
    <t>{CA6C5A84-AFCE-4BE9-A4BA-7F7A69A160B0}</t>
  </si>
  <si>
    <t>RM12.338.01</t>
  </si>
  <si>
    <t>000O1</t>
  </si>
  <si>
    <t>Lagoon Valley Dairies Limited</t>
  </si>
  <si>
    <t>Attn: C P Wing, 342 Kane Road, RD 2, Wanaka 9382</t>
  </si>
  <si>
    <t>G40 178 047</t>
  </si>
  <si>
    <t>To take and use groundwater from the Hawea Basin Aquifer for the purpose of irrigation, dairy shed supply and stock water supply.</t>
  </si>
  <si>
    <t>{A299A537-394A-442B-9C66-918D161A8EE9}</t>
  </si>
  <si>
    <t>RM12.356.01</t>
  </si>
  <si>
    <t>000PB</t>
  </si>
  <si>
    <t>William Arthur Allison, Catherine Isobel Allison and Downie Stewart Trustee Limited as trustees of The A.B.C. Family Trust</t>
  </si>
  <si>
    <t>180 Gladstone Road, RD 2, Wanaka 9382</t>
  </si>
  <si>
    <t>G40 159 126</t>
  </si>
  <si>
    <t>To take and use groundwater from the Hawea Basin Aquifer for the purpose of irrigation and stock water</t>
  </si>
  <si>
    <t>{A7444D8C-6CA9-4FAF-A280-BF4F4C62FEFD}</t>
  </si>
  <si>
    <t>RM12.548.01.V2</t>
  </si>
  <si>
    <t>0011B</t>
  </si>
  <si>
    <t>Peter Henry Phiskie, Yvonne Maria Phiskie and Barbara Frances Williams being Trustees of the Hillview Trust</t>
  </si>
  <si>
    <t>342 Camp Hill Road, RD 2, Wanaka 9382</t>
  </si>
  <si>
    <t>To take and use groundwater from the Hawea Basin Aquifer for the purpose of irrigation, single domestic and stock water supply</t>
  </si>
  <si>
    <t>{8146537C-460B-452C-BA93-647BC7805749}</t>
  </si>
  <si>
    <t>RM13.053.01</t>
  </si>
  <si>
    <t>13CAP</t>
  </si>
  <si>
    <t>G40 125 093</t>
  </si>
  <si>
    <t>To take and use ground water for the purpose of stock water and dairy shed supply</t>
  </si>
  <si>
    <t>{1E4A35DC-F784-4C8E-B62C-E261D0EE3B9C}</t>
  </si>
  <si>
    <t>RM13.244.01</t>
  </si>
  <si>
    <t>000FJ</t>
  </si>
  <si>
    <t>Daryl Stephen John Kerin</t>
  </si>
  <si>
    <t>C/- Glen Dene Ltd, Private Bag 9001, Wanaka 9343</t>
  </si>
  <si>
    <t>G40 148 136</t>
  </si>
  <si>
    <t>To take and use ground water for the purpose of irrigation</t>
  </si>
  <si>
    <t>{48FF46D9-0C51-4062-A74E-0ACD9126084A}</t>
  </si>
  <si>
    <t>RM13.307.01</t>
  </si>
  <si>
    <t>000MJ</t>
  </si>
  <si>
    <t>To take and use groundwater from the River Domain of the High Terrace Aquifer for the purpose of irrigation</t>
  </si>
  <si>
    <t>{384DAF16-C0A2-4FE0-8A07-1B447BF1B5BC}</t>
  </si>
  <si>
    <t>RM13.369.01</t>
  </si>
  <si>
    <t>000RG</t>
  </si>
  <si>
    <t>G40 120 088</t>
  </si>
  <si>
    <t>To take and use connected groundwater from the Hawea River for the purpose of irrigation</t>
  </si>
  <si>
    <t>{93667BFE-17FB-4031-B730-15B4CF914998}</t>
  </si>
  <si>
    <t>RM13.244.02</t>
  </si>
  <si>
    <t>000V8</t>
  </si>
  <si>
    <t>G40 151 136</t>
  </si>
  <si>
    <t>{C182E301-0FAF-4097-B43F-4B7EC1FBBFD3}</t>
  </si>
  <si>
    <t>RM14.073.01</t>
  </si>
  <si>
    <t>14CAP</t>
  </si>
  <si>
    <t>0006L</t>
  </si>
  <si>
    <t>To take and use groundwater connected to the Hawea River for the purpose of irrigation</t>
  </si>
  <si>
    <t>{5630AE38-4F7A-43F9-BA01-38B154B65D22}</t>
  </si>
  <si>
    <t>RM14.278.01.V1</t>
  </si>
  <si>
    <t>000RO</t>
  </si>
  <si>
    <t>Queenstown Lakes District Council</t>
  </si>
  <si>
    <t>Private Bag 50072, Queenstown 9348</t>
  </si>
  <si>
    <t>G40 133 153</t>
  </si>
  <si>
    <t>To take and use groundwater from the Hawea Basin aquifer for the purpose of Hawea community water supply</t>
  </si>
  <si>
    <t>{8871A4BC-1FB3-4DE2-BE38-AA6D16B9DB97}</t>
  </si>
  <si>
    <t>RM14.280.01</t>
  </si>
  <si>
    <t>000RR</t>
  </si>
  <si>
    <t>AKS Wanaka Limited</t>
  </si>
  <si>
    <t>193 Maungawera Valley Road, RD 2, Wanaka 9382</t>
  </si>
  <si>
    <t>F40 088 118</t>
  </si>
  <si>
    <t>To take and use groundwater from the Maungawera Valley Aquifer for the purpose of irrigation</t>
  </si>
  <si>
    <t>{42701DC7-65ED-4928-9B27-100E93F7FFFA}</t>
  </si>
  <si>
    <t>RM14.342.01</t>
  </si>
  <si>
    <t>000WL</t>
  </si>
  <si>
    <t>G40 139 047</t>
  </si>
  <si>
    <t>To take and use connected groundwater from the Clutha River/Mata-Au and the Hillside Domain of the High Terrace Aquifer for the purpose of irrigation</t>
  </si>
  <si>
    <t>{BB16BF43-0D28-4F1D-AB66-DC49CA2EFEB8}</t>
  </si>
  <si>
    <t>RM15.010.01</t>
  </si>
  <si>
    <t>15CAP</t>
  </si>
  <si>
    <t>0000R</t>
  </si>
  <si>
    <t>John Gordon Leith and Colleen Dawn Leith</t>
  </si>
  <si>
    <t>7 Hidden Hills Drive, Wanaka 9305</t>
  </si>
  <si>
    <t>G40 146 105</t>
  </si>
  <si>
    <t>{5B49D1C4-51EB-44E2-8962-03E123500B8F}</t>
  </si>
  <si>
    <t>RM16.158.02.V1</t>
  </si>
  <si>
    <t>16CAP</t>
  </si>
  <si>
    <t>000EP</t>
  </si>
  <si>
    <t>James Wilson Cooper</t>
  </si>
  <si>
    <t>C/- Devon Dairy Farms, PO Box 813, Wanaka 9343</t>
  </si>
  <si>
    <t>G40 123 090</t>
  </si>
  <si>
    <t>To construct a bore for the purpose of accessing groundwater and to take and use groundwater from the Hawea Basin aquifer for the purpose of irrigation</t>
  </si>
  <si>
    <t>{4011E071-5356-4D87-91D1-84D35D2CFC8C}</t>
  </si>
  <si>
    <t>RM16.187.01</t>
  </si>
  <si>
    <t>000HQ</t>
  </si>
  <si>
    <t>Mt. Burke Station Limited</t>
  </si>
  <si>
    <t>827 Maungawera Road, RD 2, Wanaka 9382</t>
  </si>
  <si>
    <t>F40 071 134</t>
  </si>
  <si>
    <t>To take and use groundwater from an unnamed aquifer for the purpose of irrigation</t>
  </si>
  <si>
    <t>{26C7F20A-D7F2-4505-A62A-6ABAD1523086}</t>
  </si>
  <si>
    <t>RM16.196.01.V1</t>
  </si>
  <si>
    <t>000IO</t>
  </si>
  <si>
    <t>Willowridge Developments Limited</t>
  </si>
  <si>
    <t xml:space="preserve">PO Box 170, Dunedin </t>
  </si>
  <si>
    <t>G40 157 023</t>
  </si>
  <si>
    <t>To take and use ground water for the purpose of irrigation and domestic use</t>
  </si>
  <si>
    <t>{18BE2AAC-79F0-4BB1-9F84-16D881FD66D0}</t>
  </si>
  <si>
    <t>RM17.077.01</t>
  </si>
  <si>
    <t>17CAP</t>
  </si>
  <si>
    <t>000GU</t>
  </si>
  <si>
    <t>Ruddenklau Farming Company Limited</t>
  </si>
  <si>
    <t>C/- G Thornton (Christchurch) Limited, 365 Maungawera Road, RD 2, Wanaka 9382</t>
  </si>
  <si>
    <t>F40 079 127</t>
  </si>
  <si>
    <t>{00FBE90C-BF9B-48DA-8AE2-DBD12CD777C4}</t>
  </si>
  <si>
    <t>RM18.134.01</t>
  </si>
  <si>
    <t>18CAP</t>
  </si>
  <si>
    <t>000X8</t>
  </si>
  <si>
    <t>Rivers End W&amp;R Limited</t>
  </si>
  <si>
    <t>600 Albert Town - Lake Hawea Road, RD 2, Wanaka 9382</t>
  </si>
  <si>
    <t>G40 107 088</t>
  </si>
  <si>
    <t>To take and use groundwater connected to the Hawea River for the purpose of communal domestic supply and irrigation</t>
  </si>
  <si>
    <t>{202D2FAE-8CC7-4B6C-8298-0CDFA3FC5DBB}</t>
  </si>
  <si>
    <t>RM18.310.01</t>
  </si>
  <si>
    <t>002JP</t>
  </si>
  <si>
    <t>Paul Aubrey Urquhart</t>
  </si>
  <si>
    <t>393 Gladstone Road, Hawea 9382</t>
  </si>
  <si>
    <t>G40 159 151</t>
  </si>
  <si>
    <t>{F2901E4C-6404-4C73-96F0-8F7FBBB9C966}</t>
  </si>
  <si>
    <t>RM19.388.01</t>
  </si>
  <si>
    <t>19CAP</t>
  </si>
  <si>
    <t>003WN</t>
  </si>
  <si>
    <t>Peter Ross Davies, Lee-Anne Francis Kane and Iain Grant Fyfe being Trustees of the Davies and Kane Family Trust and Jolly Holdings Limited</t>
  </si>
  <si>
    <t>39 Butterfield Road, RD 2, Hawea Flat, Wanaka 9382</t>
  </si>
  <si>
    <t>G40 136 106</t>
  </si>
  <si>
    <t>To take and use groundwater from the Hawea Flat Aquifer for the purpose of irrigation, domestic use, stock water, frost fighting and dust suppression.</t>
  </si>
  <si>
    <t>{F9F0C5A6-ED34-4EFC-9CB6-78413FABDEFE}</t>
  </si>
  <si>
    <t>RM20.257.01</t>
  </si>
  <si>
    <t>20CAP</t>
  </si>
  <si>
    <t>002AK</t>
  </si>
  <si>
    <t>Camp Hill Road Limited</t>
  </si>
  <si>
    <t>Attn: Adam Fairmaid, 1153 Wanaka Luggate Highway, RD2, Wanaka 9382</t>
  </si>
  <si>
    <t>CA13 018 471</t>
  </si>
  <si>
    <t>To take and use of connected groundwater for the purpose of irrigation and communal domestic use</t>
  </si>
  <si>
    <t>{BC1DF39B-19AE-4F8C-A3FA-66867B3EEE79}</t>
  </si>
  <si>
    <t>RM21.238.01</t>
  </si>
  <si>
    <t>21CAP</t>
  </si>
  <si>
    <t>001JE</t>
  </si>
  <si>
    <t>Patrick Martyn McCarthy, Deanna Megan McCarthy &amp; Tarbert Trustees (2017) Limited being Trustees of the Ardmore Trust</t>
  </si>
  <si>
    <t>117 McCarthy Road, RD 2, Wanaka 9382</t>
  </si>
  <si>
    <t>CA13 059 507</t>
  </si>
  <si>
    <t>To take groundwater from a well located in the Hawea Basin Aquifer. For the purpose of irrigation</t>
  </si>
  <si>
    <t>{63F11460-FD17-40E5-A32B-44077DE44D94}</t>
  </si>
  <si>
    <t>98TMP</t>
  </si>
  <si>
    <t>Phillip William Hunt and Elizabeth Leigh Carruthers</t>
  </si>
  <si>
    <t>100 Maungawera Road, RD 2, Wanaka 9382</t>
  </si>
  <si>
    <t>F40:091-117</t>
  </si>
  <si>
    <t>To take up to 12,000 litres per day at a maximum rate of 1 litre per second from a bore along Maungawera Valley near Hawea for the purpose of domestic supply to three properties.</t>
  </si>
  <si>
    <t>{9B04FC1F-3CBC-461E-88FE-30BD45D83990}</t>
  </si>
  <si>
    <t>ConsentID</t>
  </si>
  <si>
    <t>WellNumber</t>
  </si>
  <si>
    <t>MaxFlowRate</t>
  </si>
  <si>
    <t>MaxHourlyVolume</t>
  </si>
  <si>
    <t>MaxdailyVolume</t>
  </si>
  <si>
    <t>MaxWeeklyVolume</t>
  </si>
  <si>
    <t>MaxMonthlyVolume</t>
  </si>
  <si>
    <t>MaxYearlyVolume</t>
  </si>
  <si>
    <t>Aquifer</t>
  </si>
  <si>
    <t>B1_APPL_STATUS</t>
  </si>
  <si>
    <t>Consent</t>
  </si>
  <si>
    <t>NumberOfWells</t>
  </si>
  <si>
    <t>FMU</t>
  </si>
  <si>
    <t>Rohe</t>
  </si>
  <si>
    <t>Type</t>
  </si>
  <si>
    <t>WellsDtbAquifer</t>
  </si>
  <si>
    <t>Depth</t>
  </si>
  <si>
    <t>Diameter</t>
  </si>
  <si>
    <t>DTW</t>
  </si>
  <si>
    <t>2001.122</t>
  </si>
  <si>
    <t>G40/0054</t>
  </si>
  <si>
    <t>Hawea Basin</t>
  </si>
  <si>
    <t>Clutha / Mata-Au</t>
  </si>
  <si>
    <t>Dunstan Rohe</t>
  </si>
  <si>
    <t>Groundwater Take</t>
  </si>
  <si>
    <t>High Terrace</t>
  </si>
  <si>
    <t>342 Kane Road, RD 2, Wanaka 9382</t>
  </si>
  <si>
    <t>G40/0293</t>
  </si>
  <si>
    <t>G40/0340</t>
  </si>
  <si>
    <t>Hawea Terrace Hillside Domain</t>
  </si>
  <si>
    <t>G40/0370</t>
  </si>
  <si>
    <t>RM16.196.01</t>
  </si>
  <si>
    <t xml:space="preserve">West Meadows Drive, Wanaka </t>
  </si>
  <si>
    <t>G40/0371</t>
  </si>
  <si>
    <t>G40/0053</t>
  </si>
  <si>
    <t>Maungawera Flat</t>
  </si>
  <si>
    <t>G40/0117</t>
  </si>
  <si>
    <t>Hawea Flat</t>
  </si>
  <si>
    <t>Hawea Flat Hillside</t>
  </si>
  <si>
    <t>G40/0047</t>
  </si>
  <si>
    <t>G40/0171</t>
  </si>
  <si>
    <t>G40/0174</t>
  </si>
  <si>
    <t>G40/0179</t>
  </si>
  <si>
    <t>G40/0196</t>
  </si>
  <si>
    <t>G40/0181</t>
  </si>
  <si>
    <t>G40/0204</t>
  </si>
  <si>
    <t>G40/0205</t>
  </si>
  <si>
    <t>G40/0210</t>
  </si>
  <si>
    <t>G40/0159</t>
  </si>
  <si>
    <t>G40/0237</t>
  </si>
  <si>
    <t>2006.715.V1</t>
  </si>
  <si>
    <t>Trustees of G J &amp; J H Reid Family Trust</t>
  </si>
  <si>
    <t>173 Camp Hill Road, Hawea Flat, Wanaka 9382</t>
  </si>
  <si>
    <t>To take and use groundwater for the purpose of irrigation. Location of point of abstraction: 173 Camp Hill Road, approximately 2.1 kilometres northeast of the intersection between Maungawera Valley Road and Lake Hawea-Albert Town Road (State Highway 6) and approximately 200 metres west of the Hawea River, Hawea Flat, Wanaka.</t>
  </si>
  <si>
    <t>G40/0203</t>
  </si>
  <si>
    <t>Te Awa Aquifer</t>
  </si>
  <si>
    <t>G40/0261</t>
  </si>
  <si>
    <t>Quarry pit</t>
  </si>
  <si>
    <t>Shallow</t>
  </si>
  <si>
    <t>C/- R S Melville, 2nd Floor Bartons Building, 2 Stafford Street, Dunedin 9016</t>
  </si>
  <si>
    <t>G40/0294</t>
  </si>
  <si>
    <t>G40/0307</t>
  </si>
  <si>
    <t>G40/0266</t>
  </si>
  <si>
    <t>G40/0311</t>
  </si>
  <si>
    <t>G40/0226</t>
  </si>
  <si>
    <t>G40/0315</t>
  </si>
  <si>
    <t>G40/0327</t>
  </si>
  <si>
    <t>G40/0325</t>
  </si>
  <si>
    <t>G42/0791</t>
  </si>
  <si>
    <t>G40/0388</t>
  </si>
  <si>
    <t>Variable</t>
  </si>
  <si>
    <t>F41/0119</t>
  </si>
  <si>
    <t>Maungawera Valley Aquifer</t>
  </si>
  <si>
    <t>RM14.354.01</t>
  </si>
  <si>
    <t>RM14.306.01</t>
  </si>
  <si>
    <t>Garry Allan Derrick as sole trustee of the G A Derrick Investment Trust</t>
  </si>
  <si>
    <t>245 Thomsons Road, RD 7, Christchurch 7677</t>
  </si>
  <si>
    <t>To take and use groundwater for the purpose of  irrigation, stock and domestic water</t>
  </si>
  <si>
    <t>Unregistered?</t>
  </si>
  <si>
    <t>?</t>
  </si>
  <si>
    <t>G40/0353</t>
  </si>
  <si>
    <t>Sandy Point Aquifer</t>
  </si>
  <si>
    <t>John Gordon Leith Colleen Dawn Leith</t>
  </si>
  <si>
    <t>1025 Lake Hawea-Albert Town Road, RD 2, Wanaka 9343</t>
  </si>
  <si>
    <t>G40/0219</t>
  </si>
  <si>
    <t>Maungawera Flat Aquifer</t>
  </si>
  <si>
    <t>Stuart Wilson &amp; Associates Limited, 1174 Amohia Street, Rotorua 3010</t>
  </si>
  <si>
    <t>CA13/0106</t>
  </si>
  <si>
    <t>F40/0189</t>
  </si>
  <si>
    <t>99529.V1</t>
  </si>
  <si>
    <t>PA &amp; ML Urquhart Limited</t>
  </si>
  <si>
    <t>393 Gladstone Road, RD 2, Wanaka 9382</t>
  </si>
  <si>
    <t>To take groundwater for the purpose of irrigation</t>
  </si>
  <si>
    <t>G40/0048</t>
  </si>
  <si>
    <t>G40/0296</t>
  </si>
  <si>
    <t>High Terrace Riverside</t>
  </si>
  <si>
    <t>G40/0287</t>
  </si>
  <si>
    <t>F40/0133</t>
  </si>
  <si>
    <t>F40/0196</t>
  </si>
  <si>
    <t>_</t>
  </si>
  <si>
    <t>G40/0414</t>
  </si>
  <si>
    <t>CA13/0127</t>
  </si>
  <si>
    <t>Hawea Flat Lakeside</t>
  </si>
  <si>
    <t>G40/0046</t>
  </si>
  <si>
    <t>T = 2.332 m2/d</t>
  </si>
  <si>
    <t>Calculated Vol.</t>
  </si>
  <si>
    <t>Total (Specified &amp; Calc)</t>
  </si>
  <si>
    <t>WM1158</t>
  </si>
  <si>
    <t>WM0633</t>
  </si>
  <si>
    <t>WM1438</t>
  </si>
  <si>
    <t>WM1439</t>
  </si>
  <si>
    <t>No matches</t>
  </si>
  <si>
    <t>WM1322</t>
  </si>
  <si>
    <t>WM0219</t>
  </si>
  <si>
    <t>WM0297</t>
  </si>
  <si>
    <t>WM0303</t>
  </si>
  <si>
    <t>WM0345</t>
  </si>
  <si>
    <t>WM0347</t>
  </si>
  <si>
    <t>WM0358</t>
  </si>
  <si>
    <t>WM0741</t>
  </si>
  <si>
    <t>WM1152</t>
  </si>
  <si>
    <t>WM0786</t>
  </si>
  <si>
    <t>WM0441</t>
  </si>
  <si>
    <t>WM0871</t>
  </si>
  <si>
    <t>WM0899</t>
  </si>
  <si>
    <t>WM1296</t>
  </si>
  <si>
    <t>WM0617</t>
  </si>
  <si>
    <t>WM0618</t>
  </si>
  <si>
    <t>WM0635</t>
  </si>
  <si>
    <t>WM1042</t>
  </si>
  <si>
    <t>WM1044</t>
  </si>
  <si>
    <t>WM1043</t>
  </si>
  <si>
    <t>WM0626</t>
  </si>
  <si>
    <t>WM0648</t>
  </si>
  <si>
    <t>WM#1</t>
  </si>
  <si>
    <t>WM#2</t>
  </si>
  <si>
    <t>WM#3</t>
  </si>
  <si>
    <t>WM1144</t>
  </si>
  <si>
    <t>WM0653</t>
  </si>
  <si>
    <t>WM0649</t>
  </si>
  <si>
    <t>WM1349</t>
  </si>
  <si>
    <t>WM1350</t>
  </si>
  <si>
    <t>WM1352</t>
  </si>
  <si>
    <t>WM1197</t>
  </si>
  <si>
    <t>WM1232</t>
  </si>
  <si>
    <t>WM1193</t>
  </si>
  <si>
    <t>WM1194</t>
  </si>
  <si>
    <t>WM1062</t>
  </si>
  <si>
    <t>WM0584</t>
  </si>
  <si>
    <t>45</t>
  </si>
  <si>
    <t>52</t>
  </si>
  <si>
    <t>16.7</t>
  </si>
  <si>
    <t>73.6</t>
  </si>
  <si>
    <t>100</t>
  </si>
  <si>
    <t>65</t>
  </si>
  <si>
    <t>333</t>
  </si>
  <si>
    <t>117</t>
  </si>
  <si>
    <t>StreamDepletionEffect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</si>
</sst>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3" fontId="13" fillId="33" borderId="11" xfId="0" applyNumberFormat="1" applyFont="1" applyFill="1" applyBorder="1"/>
    <xf numFmtId="0" fontId="13" fillId="33" borderId="12" xfId="0" applyFont="1" applyFill="1" applyBorder="1"/>
    <xf numFmtId="0" fontId="13" fillId="33" borderId="0" xfId="0" applyFont="1" applyFill="1"/>
    <xf numFmtId="0" fontId="0" fillId="34" borderId="10" xfId="0" applyFill="1" applyBorder="1"/>
    <xf numFmtId="0" fontId="0" fillId="34" borderId="11" xfId="0" applyFill="1" applyBorder="1"/>
    <xf numFmtId="3" fontId="0" fillId="34" borderId="11" xfId="0" applyNumberFormat="1" applyFill="1" applyBorder="1"/>
    <xf numFmtId="0" fontId="0" fillId="34" borderId="12" xfId="0" applyFill="1" applyBorder="1"/>
    <xf numFmtId="0" fontId="0" fillId="0" borderId="10" xfId="0" applyBorder="1"/>
    <xf numFmtId="0" fontId="0" fillId="0" borderId="11" xfId="0" applyBorder="1"/>
    <xf numFmtId="3" fontId="0" fillId="0" borderId="11" xfId="0" applyNumberFormat="1" applyBorder="1"/>
    <xf numFmtId="0" fontId="0" fillId="0" borderId="12" xfId="0" applyBorder="1"/>
    <xf numFmtId="3" fontId="0" fillId="0" borderId="0" xfId="0" applyNumberFormat="1"/>
    <xf numFmtId="0" fontId="0" fillId="0" borderId="11" xfId="0" applyBorder="1" applyAlignment="1">
      <alignment horizontal="righ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20" fillId="0" borderId="11" xfId="0" applyFont="1" applyBorder="1"/>
    <xf numFmtId="14" fontId="0" fillId="0" borderId="0" xfId="0" applyNumberFormat="1" applyAlignment="1">
      <alignment horizontal="right"/>
    </xf>
    <xf numFmtId="3" fontId="21" fillId="0" borderId="11" xfId="0" applyNumberFormat="1" applyFont="1" applyBorder="1"/>
    <xf numFmtId="3" fontId="21" fillId="34" borderId="11" xfId="0" applyNumberFormat="1" applyFont="1" applyFill="1" applyBorder="1"/>
    <xf numFmtId="0" fontId="14" fillId="0" borderId="0" xfId="0" applyFont="1"/>
    <xf numFmtId="3" fontId="14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right"/>
    </xf>
    <xf numFmtId="1" fontId="16" fillId="0" borderId="0" xfId="0" applyNumberFormat="1" applyFont="1"/>
    <xf numFmtId="0" fontId="0" fillId="0" borderId="11" xfId="0" applyFill="1" applyBorder="1"/>
    <xf numFmtId="0" fontId="0" fillId="0" borderId="0" xfId="0" applyFill="1"/>
    <xf numFmtId="0" fontId="0" fillId="35" borderId="0" xfId="0" applyFill="1"/>
    <xf numFmtId="0" fontId="0" fillId="0" borderId="0" xfId="0" applyBorder="1"/>
    <xf numFmtId="0" fontId="0" fillId="34" borderId="0" xfId="0" applyFill="1" applyBorder="1"/>
    <xf numFmtId="3" fontId="0" fillId="0" borderId="0" xfId="0" applyNumberFormat="1" applyBorder="1"/>
    <xf numFmtId="0" fontId="0" fillId="0" borderId="0" xfId="0" applyFill="1" applyBorder="1"/>
    <xf numFmtId="0" fontId="0" fillId="36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47"/>
  <sheetViews>
    <sheetView zoomScale="60" zoomScaleNormal="60" workbookViewId="0">
      <pane xSplit="2" ySplit="1" topLeftCell="AA2" activePane="bottomRight" state="frozen"/>
      <selection pane="topRight" activeCell="C1" sqref="C1"/>
      <selection pane="bottomLeft" activeCell="A2" sqref="A2"/>
      <selection pane="bottomRight" activeCell="BG42" sqref="BG42"/>
    </sheetView>
  </sheetViews>
  <sheetFormatPr defaultRowHeight="15" x14ac:dyDescent="0.25"/>
  <cols>
    <col min="2" max="2" width="15.7109375" style="3" bestFit="1" customWidth="1"/>
    <col min="3" max="3" width="24.85546875" bestFit="1" customWidth="1"/>
    <col min="8" max="8" width="24.7109375" customWidth="1"/>
    <col min="10" max="10" width="13.28515625" bestFit="1" customWidth="1"/>
    <col min="11" max="11" width="13.7109375" bestFit="1" customWidth="1"/>
    <col min="13" max="13" width="18.140625" bestFit="1" customWidth="1"/>
    <col min="14" max="14" width="0" hidden="1" customWidth="1"/>
    <col min="15" max="15" width="22.7109375" customWidth="1"/>
    <col min="17" max="17" width="0" hidden="1" customWidth="1"/>
    <col min="24" max="24" width="18.28515625" style="23" bestFit="1" customWidth="1"/>
    <col min="26" max="26" width="12.7109375" bestFit="1" customWidth="1"/>
    <col min="27" max="27" width="13.5703125" style="23" customWidth="1"/>
    <col min="33" max="33" width="10.28515625" customWidth="1"/>
    <col min="34" max="34" width="13.28515625" style="4" customWidth="1"/>
    <col min="40" max="40" width="12.28515625" customWidth="1"/>
    <col min="46" max="46" width="13.140625" customWidth="1"/>
    <col min="65" max="65" width="10.5703125" customWidth="1"/>
    <col min="66" max="66" width="10.85546875" customWidth="1"/>
  </cols>
  <sheetData>
    <row r="1" spans="1:89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s="21" t="s">
        <v>1</v>
      </c>
      <c r="AA1" s="22" t="s">
        <v>1</v>
      </c>
      <c r="AB1" t="s">
        <v>2</v>
      </c>
      <c r="AC1" t="s">
        <v>3</v>
      </c>
      <c r="AD1" t="s">
        <v>7</v>
      </c>
      <c r="AE1" t="s">
        <v>8</v>
      </c>
      <c r="AF1" s="5" t="s">
        <v>9</v>
      </c>
      <c r="AG1" s="5" t="s">
        <v>10</v>
      </c>
      <c r="AH1" s="4" t="s">
        <v>12</v>
      </c>
      <c r="AI1" t="s">
        <v>13</v>
      </c>
      <c r="AJ1" t="s">
        <v>14</v>
      </c>
      <c r="AK1" t="s">
        <v>19</v>
      </c>
      <c r="AL1" t="s">
        <v>20</v>
      </c>
      <c r="AM1" s="6" t="s">
        <v>292</v>
      </c>
      <c r="AN1" s="7" t="s">
        <v>293</v>
      </c>
      <c r="AO1" s="7" t="s">
        <v>294</v>
      </c>
      <c r="AP1" s="7" t="s">
        <v>295</v>
      </c>
      <c r="AQ1" s="7" t="s">
        <v>296</v>
      </c>
      <c r="AR1" s="7" t="s">
        <v>297</v>
      </c>
      <c r="AS1" s="7" t="s">
        <v>298</v>
      </c>
      <c r="AT1" s="8" t="s">
        <v>299</v>
      </c>
      <c r="AU1" s="7" t="s">
        <v>300</v>
      </c>
      <c r="AV1" s="7" t="s">
        <v>301</v>
      </c>
      <c r="AW1" s="7" t="s">
        <v>302</v>
      </c>
      <c r="AX1" s="7" t="s">
        <v>303</v>
      </c>
      <c r="AY1" s="7" t="s">
        <v>304</v>
      </c>
      <c r="AZ1" s="7" t="s">
        <v>305</v>
      </c>
      <c r="BA1" s="7" t="s">
        <v>306</v>
      </c>
      <c r="BB1" s="9" t="s">
        <v>307</v>
      </c>
      <c r="BC1" s="10" t="s">
        <v>308</v>
      </c>
      <c r="BD1" s="10" t="s">
        <v>309</v>
      </c>
      <c r="BE1" s="10" t="s">
        <v>310</v>
      </c>
      <c r="BG1" s="22" t="s">
        <v>1</v>
      </c>
      <c r="BH1" t="s">
        <v>2</v>
      </c>
      <c r="BI1" t="s">
        <v>3</v>
      </c>
      <c r="BJ1" t="s">
        <v>7</v>
      </c>
      <c r="BK1" t="s">
        <v>8</v>
      </c>
      <c r="BL1" s="5" t="s">
        <v>9</v>
      </c>
      <c r="BM1" s="5" t="s">
        <v>10</v>
      </c>
      <c r="BN1" t="s">
        <v>12</v>
      </c>
      <c r="BO1" t="s">
        <v>13</v>
      </c>
      <c r="BP1" t="s">
        <v>14</v>
      </c>
      <c r="BQ1" t="s">
        <v>19</v>
      </c>
      <c r="BR1" t="s">
        <v>20</v>
      </c>
      <c r="BS1" s="6" t="s">
        <v>292</v>
      </c>
      <c r="BT1" s="7" t="s">
        <v>293</v>
      </c>
      <c r="BU1" s="7" t="s">
        <v>294</v>
      </c>
      <c r="BV1" s="7" t="s">
        <v>295</v>
      </c>
      <c r="BW1" s="7" t="s">
        <v>296</v>
      </c>
      <c r="BX1" s="7" t="s">
        <v>297</v>
      </c>
      <c r="BY1" s="7" t="s">
        <v>298</v>
      </c>
      <c r="BZ1" s="8" t="s">
        <v>299</v>
      </c>
      <c r="CA1" s="7" t="s">
        <v>300</v>
      </c>
      <c r="CB1" s="7" t="s">
        <v>301</v>
      </c>
      <c r="CC1" s="7" t="s">
        <v>302</v>
      </c>
      <c r="CD1" s="7" t="s">
        <v>303</v>
      </c>
      <c r="CE1" s="7" t="s">
        <v>304</v>
      </c>
      <c r="CF1" s="7" t="s">
        <v>305</v>
      </c>
      <c r="CG1" s="7" t="s">
        <v>306</v>
      </c>
      <c r="CH1" s="9" t="s">
        <v>307</v>
      </c>
      <c r="CI1" s="10" t="s">
        <v>308</v>
      </c>
      <c r="CJ1" s="10" t="s">
        <v>309</v>
      </c>
      <c r="CK1" s="10" t="s">
        <v>310</v>
      </c>
    </row>
    <row r="2" spans="1:89" x14ac:dyDescent="0.25">
      <c r="A2">
        <v>90</v>
      </c>
      <c r="B2" s="3">
        <v>2000.095</v>
      </c>
      <c r="C2" t="s">
        <v>22</v>
      </c>
      <c r="D2" t="s">
        <v>23</v>
      </c>
      <c r="E2" t="s">
        <v>24</v>
      </c>
      <c r="F2">
        <v>0</v>
      </c>
      <c r="G2">
        <v>89</v>
      </c>
      <c r="H2" t="s">
        <v>25</v>
      </c>
      <c r="I2" t="s">
        <v>26</v>
      </c>
      <c r="J2" s="1">
        <v>1301122</v>
      </c>
      <c r="K2" s="1">
        <v>5050093</v>
      </c>
      <c r="L2" t="s">
        <v>27</v>
      </c>
      <c r="M2" s="2">
        <v>46138</v>
      </c>
      <c r="N2" t="s">
        <v>28</v>
      </c>
      <c r="O2" t="s">
        <v>29</v>
      </c>
      <c r="Q2">
        <v>20220315</v>
      </c>
      <c r="S2" t="s">
        <v>30</v>
      </c>
      <c r="T2">
        <v>1301122</v>
      </c>
      <c r="U2">
        <v>5050093</v>
      </c>
      <c r="V2">
        <v>2193</v>
      </c>
      <c r="X2" s="22">
        <v>2000.095</v>
      </c>
      <c r="Y2" t="b">
        <f t="shared" ref="Y2:Y12" si="0">B2=X2</f>
        <v>1</v>
      </c>
      <c r="AA2" s="22">
        <v>2000.095</v>
      </c>
      <c r="AB2" t="s">
        <v>22</v>
      </c>
      <c r="AC2" t="s">
        <v>23</v>
      </c>
      <c r="AD2" t="s">
        <v>25</v>
      </c>
      <c r="AE2" t="s">
        <v>26</v>
      </c>
      <c r="AF2" s="5">
        <v>1301122</v>
      </c>
      <c r="AG2" s="5">
        <v>5050093</v>
      </c>
      <c r="AH2" s="25">
        <v>46138</v>
      </c>
      <c r="AI2" t="s">
        <v>28</v>
      </c>
      <c r="AJ2" t="s">
        <v>29</v>
      </c>
      <c r="AK2">
        <v>1301122</v>
      </c>
      <c r="AL2">
        <v>5050093</v>
      </c>
      <c r="AM2" s="15"/>
      <c r="AN2" s="16" t="s">
        <v>326</v>
      </c>
      <c r="AO2" s="16">
        <v>2.5</v>
      </c>
      <c r="AP2" s="16"/>
      <c r="AQ2" s="16">
        <v>22</v>
      </c>
      <c r="AR2" s="16"/>
      <c r="AS2" s="16"/>
      <c r="AT2" s="26">
        <f>AQ2*90</f>
        <v>1980</v>
      </c>
      <c r="AU2" s="16" t="s">
        <v>327</v>
      </c>
      <c r="AV2" s="16"/>
      <c r="AW2" s="16"/>
      <c r="AX2" s="16">
        <v>1</v>
      </c>
      <c r="AY2" s="16" t="s">
        <v>314</v>
      </c>
      <c r="AZ2" s="16" t="s">
        <v>315</v>
      </c>
      <c r="BA2" s="16" t="s">
        <v>316</v>
      </c>
      <c r="BB2" s="18"/>
    </row>
    <row r="3" spans="1:89" x14ac:dyDescent="0.25">
      <c r="A3">
        <v>201</v>
      </c>
      <c r="B3" s="3">
        <v>2000.212</v>
      </c>
      <c r="C3" t="s">
        <v>22</v>
      </c>
      <c r="D3" t="s">
        <v>23</v>
      </c>
      <c r="E3" t="s">
        <v>24</v>
      </c>
      <c r="F3">
        <v>0</v>
      </c>
      <c r="G3">
        <v>206</v>
      </c>
      <c r="H3" t="s">
        <v>31</v>
      </c>
      <c r="I3" t="s">
        <v>32</v>
      </c>
      <c r="J3" s="1">
        <v>1305727</v>
      </c>
      <c r="K3" s="1">
        <v>5047894</v>
      </c>
      <c r="L3" t="s">
        <v>33</v>
      </c>
      <c r="M3" s="2">
        <v>45851</v>
      </c>
      <c r="N3" t="s">
        <v>28</v>
      </c>
      <c r="O3" t="s">
        <v>34</v>
      </c>
      <c r="Q3">
        <v>20220315</v>
      </c>
      <c r="S3" t="s">
        <v>35</v>
      </c>
      <c r="T3">
        <v>1305727</v>
      </c>
      <c r="U3">
        <v>5047894</v>
      </c>
      <c r="V3">
        <v>2193</v>
      </c>
      <c r="X3" s="22">
        <v>2000.212</v>
      </c>
      <c r="Y3" t="b">
        <f t="shared" si="0"/>
        <v>1</v>
      </c>
      <c r="AA3" s="22">
        <v>2000.212</v>
      </c>
      <c r="AB3" t="s">
        <v>22</v>
      </c>
      <c r="AC3" t="s">
        <v>23</v>
      </c>
      <c r="AD3" t="s">
        <v>31</v>
      </c>
      <c r="AE3" t="s">
        <v>32</v>
      </c>
      <c r="AF3" s="5">
        <v>1305727</v>
      </c>
      <c r="AG3" s="5">
        <v>5047894</v>
      </c>
      <c r="AH3" s="25">
        <v>45851</v>
      </c>
      <c r="AI3" t="s">
        <v>28</v>
      </c>
      <c r="AJ3" t="s">
        <v>34</v>
      </c>
      <c r="AK3">
        <v>1305727</v>
      </c>
      <c r="AL3">
        <v>5047894</v>
      </c>
      <c r="AM3" s="15"/>
      <c r="AN3" s="16" t="s">
        <v>328</v>
      </c>
      <c r="AO3" s="16">
        <v>3</v>
      </c>
      <c r="AP3" s="16"/>
      <c r="AQ3" s="16">
        <v>9</v>
      </c>
      <c r="AR3" s="16"/>
      <c r="AS3" s="16"/>
      <c r="AT3" s="26">
        <f>AQ3*90</f>
        <v>810</v>
      </c>
      <c r="AU3" s="16" t="s">
        <v>329</v>
      </c>
      <c r="AV3" s="16"/>
      <c r="AW3" s="16"/>
      <c r="AX3" s="16">
        <v>1</v>
      </c>
      <c r="AY3" s="16" t="s">
        <v>314</v>
      </c>
      <c r="AZ3" s="16" t="s">
        <v>315</v>
      </c>
      <c r="BA3" s="16" t="s">
        <v>316</v>
      </c>
      <c r="BB3" s="18" t="s">
        <v>330</v>
      </c>
      <c r="BC3">
        <v>19.399999999999999</v>
      </c>
      <c r="BE3">
        <v>11.4</v>
      </c>
    </row>
    <row r="4" spans="1:89" x14ac:dyDescent="0.25">
      <c r="A4">
        <v>1078</v>
      </c>
      <c r="B4" s="3">
        <v>2001.1220000000001</v>
      </c>
      <c r="C4" t="s">
        <v>22</v>
      </c>
      <c r="D4" t="s">
        <v>23</v>
      </c>
      <c r="E4" t="s">
        <v>42</v>
      </c>
      <c r="F4">
        <v>0</v>
      </c>
      <c r="G4">
        <v>132</v>
      </c>
      <c r="H4" t="s">
        <v>43</v>
      </c>
      <c r="I4" t="s">
        <v>44</v>
      </c>
      <c r="J4" s="1">
        <v>1305427</v>
      </c>
      <c r="K4" s="1">
        <v>5046193</v>
      </c>
      <c r="L4" t="s">
        <v>45</v>
      </c>
      <c r="M4" s="2">
        <v>49766</v>
      </c>
      <c r="N4" t="s">
        <v>28</v>
      </c>
      <c r="O4" t="s">
        <v>46</v>
      </c>
      <c r="Q4">
        <v>20220315</v>
      </c>
      <c r="S4" t="s">
        <v>47</v>
      </c>
      <c r="T4">
        <v>1305427</v>
      </c>
      <c r="U4">
        <v>5046193</v>
      </c>
      <c r="V4">
        <v>2193</v>
      </c>
      <c r="X4" s="22">
        <v>2001.1220000000001</v>
      </c>
      <c r="Y4" t="b">
        <f t="shared" si="0"/>
        <v>1</v>
      </c>
      <c r="AA4" s="22">
        <v>2001.1220000000001</v>
      </c>
      <c r="AB4" t="s">
        <v>22</v>
      </c>
      <c r="AC4" t="s">
        <v>23</v>
      </c>
      <c r="AD4" t="s">
        <v>43</v>
      </c>
      <c r="AE4" t="s">
        <v>44</v>
      </c>
      <c r="AF4" s="5">
        <v>1305427</v>
      </c>
      <c r="AG4" s="5">
        <v>5046193</v>
      </c>
      <c r="AH4" s="25">
        <v>49766</v>
      </c>
      <c r="AI4" t="s">
        <v>28</v>
      </c>
      <c r="AJ4" t="s">
        <v>46</v>
      </c>
      <c r="AK4">
        <v>1305427</v>
      </c>
      <c r="AL4">
        <v>5046193</v>
      </c>
      <c r="AM4" s="11" t="s">
        <v>311</v>
      </c>
      <c r="AN4" s="12" t="s">
        <v>312</v>
      </c>
      <c r="AO4" s="12">
        <v>16.7</v>
      </c>
      <c r="AP4" s="12"/>
      <c r="AQ4" s="12">
        <v>1000</v>
      </c>
      <c r="AR4" s="12"/>
      <c r="AS4" s="12"/>
      <c r="AT4" s="13">
        <v>90000</v>
      </c>
      <c r="AU4" s="12" t="s">
        <v>313</v>
      </c>
      <c r="AV4" s="12" t="s">
        <v>23</v>
      </c>
      <c r="AW4" s="12" t="s">
        <v>311</v>
      </c>
      <c r="AX4" s="12">
        <v>1</v>
      </c>
      <c r="AY4" s="12" t="s">
        <v>314</v>
      </c>
      <c r="AZ4" s="12" t="s">
        <v>315</v>
      </c>
      <c r="BA4" s="12" t="s">
        <v>316</v>
      </c>
      <c r="BB4" s="14" t="s">
        <v>317</v>
      </c>
    </row>
    <row r="5" spans="1:89" x14ac:dyDescent="0.25">
      <c r="A5">
        <v>2932</v>
      </c>
      <c r="B5" s="3">
        <v>2002.798</v>
      </c>
      <c r="C5" t="s">
        <v>22</v>
      </c>
      <c r="D5" t="s">
        <v>23</v>
      </c>
      <c r="E5" t="s">
        <v>49</v>
      </c>
      <c r="F5">
        <v>0</v>
      </c>
      <c r="G5">
        <v>771</v>
      </c>
      <c r="H5" t="s">
        <v>61</v>
      </c>
      <c r="I5" t="s">
        <v>62</v>
      </c>
      <c r="J5" s="1">
        <v>1305225</v>
      </c>
      <c r="K5" s="1">
        <v>5048995</v>
      </c>
      <c r="L5" t="s">
        <v>63</v>
      </c>
      <c r="M5" s="2">
        <v>46829</v>
      </c>
      <c r="N5" t="s">
        <v>28</v>
      </c>
      <c r="O5" t="s">
        <v>64</v>
      </c>
      <c r="Q5">
        <v>20220315</v>
      </c>
      <c r="S5" t="s">
        <v>65</v>
      </c>
      <c r="T5">
        <v>1305225</v>
      </c>
      <c r="U5">
        <v>5048995</v>
      </c>
      <c r="V5">
        <v>2193</v>
      </c>
      <c r="X5" s="22">
        <v>2002.798</v>
      </c>
      <c r="Y5" t="b">
        <f t="shared" si="0"/>
        <v>1</v>
      </c>
      <c r="AA5" s="22">
        <v>2002.798</v>
      </c>
      <c r="AB5" t="s">
        <v>22</v>
      </c>
      <c r="AC5" t="s">
        <v>23</v>
      </c>
      <c r="AD5" t="s">
        <v>61</v>
      </c>
      <c r="AE5" t="s">
        <v>62</v>
      </c>
      <c r="AF5" s="5">
        <v>1305225</v>
      </c>
      <c r="AG5" s="5">
        <v>5048995</v>
      </c>
      <c r="AH5" s="25">
        <v>46829</v>
      </c>
      <c r="AI5" t="s">
        <v>28</v>
      </c>
      <c r="AJ5" t="s">
        <v>64</v>
      </c>
      <c r="AK5">
        <v>1305225</v>
      </c>
      <c r="AL5">
        <v>5048995</v>
      </c>
      <c r="AM5" s="15"/>
      <c r="AN5" s="16" t="s">
        <v>333</v>
      </c>
      <c r="AO5" s="16">
        <v>2.5</v>
      </c>
      <c r="AP5" s="16"/>
      <c r="AQ5" s="16">
        <v>150</v>
      </c>
      <c r="AR5" s="16">
        <v>1050</v>
      </c>
      <c r="AS5" s="16">
        <v>40200</v>
      </c>
      <c r="AT5" s="26">
        <f>AQ5*90</f>
        <v>13500</v>
      </c>
      <c r="AU5" s="16" t="s">
        <v>329</v>
      </c>
      <c r="AV5" s="16"/>
      <c r="AW5" s="16"/>
      <c r="AX5" s="16">
        <v>1</v>
      </c>
      <c r="AY5" s="16" t="s">
        <v>314</v>
      </c>
      <c r="AZ5" s="16" t="s">
        <v>315</v>
      </c>
      <c r="BA5" s="16" t="s">
        <v>316</v>
      </c>
      <c r="BB5" s="18"/>
      <c r="BC5">
        <v>20.88</v>
      </c>
      <c r="BD5">
        <v>150</v>
      </c>
      <c r="BE5">
        <v>7.13</v>
      </c>
    </row>
    <row r="6" spans="1:89" x14ac:dyDescent="0.25">
      <c r="A6">
        <v>3594</v>
      </c>
      <c r="B6" s="3">
        <v>2003.59</v>
      </c>
      <c r="C6" t="s">
        <v>22</v>
      </c>
      <c r="D6" t="s">
        <v>23</v>
      </c>
      <c r="E6" t="s">
        <v>67</v>
      </c>
      <c r="F6">
        <v>0</v>
      </c>
      <c r="G6">
        <v>588</v>
      </c>
      <c r="H6" t="s">
        <v>73</v>
      </c>
      <c r="I6" t="s">
        <v>74</v>
      </c>
      <c r="J6" s="1">
        <v>1306124</v>
      </c>
      <c r="K6" s="1">
        <v>5052998</v>
      </c>
      <c r="L6" t="s">
        <v>75</v>
      </c>
      <c r="M6" s="2">
        <v>50622</v>
      </c>
      <c r="N6" t="s">
        <v>28</v>
      </c>
      <c r="O6" t="s">
        <v>76</v>
      </c>
      <c r="Q6">
        <v>20220315</v>
      </c>
      <c r="S6" t="s">
        <v>77</v>
      </c>
      <c r="T6">
        <v>1306124</v>
      </c>
      <c r="U6">
        <v>5052998</v>
      </c>
      <c r="V6">
        <v>2193</v>
      </c>
      <c r="X6" s="22">
        <v>2003.59</v>
      </c>
      <c r="Y6" t="b">
        <f t="shared" si="0"/>
        <v>1</v>
      </c>
      <c r="AA6" s="22">
        <v>2003.59</v>
      </c>
      <c r="AB6" t="s">
        <v>22</v>
      </c>
      <c r="AC6" t="s">
        <v>23</v>
      </c>
      <c r="AD6" t="s">
        <v>73</v>
      </c>
      <c r="AE6" t="s">
        <v>74</v>
      </c>
      <c r="AF6" s="5">
        <v>1306124</v>
      </c>
      <c r="AG6" s="5">
        <v>5052998</v>
      </c>
      <c r="AH6" s="25">
        <v>50622</v>
      </c>
      <c r="AI6" t="s">
        <v>28</v>
      </c>
      <c r="AJ6" t="s">
        <v>76</v>
      </c>
      <c r="AK6">
        <v>1306124</v>
      </c>
      <c r="AL6">
        <v>5052998</v>
      </c>
      <c r="AM6" s="15"/>
      <c r="AN6" s="16" t="s">
        <v>335</v>
      </c>
      <c r="AO6" s="16">
        <v>40</v>
      </c>
      <c r="AP6" s="16"/>
      <c r="AQ6" s="16">
        <v>3456</v>
      </c>
      <c r="AR6" s="16">
        <v>24192</v>
      </c>
      <c r="AS6" s="16">
        <v>96768</v>
      </c>
      <c r="AT6" s="17">
        <v>580608</v>
      </c>
      <c r="AU6" s="16" t="s">
        <v>329</v>
      </c>
      <c r="AV6" s="16"/>
      <c r="AW6" s="16"/>
      <c r="AX6" s="16">
        <v>1</v>
      </c>
      <c r="AY6" s="16" t="s">
        <v>314</v>
      </c>
      <c r="AZ6" s="16" t="s">
        <v>315</v>
      </c>
      <c r="BA6" s="16" t="s">
        <v>316</v>
      </c>
      <c r="BB6" s="18"/>
      <c r="BC6">
        <v>54</v>
      </c>
      <c r="BD6">
        <v>750</v>
      </c>
      <c r="BE6">
        <v>28.6</v>
      </c>
    </row>
    <row r="7" spans="1:89" x14ac:dyDescent="0.25">
      <c r="A7">
        <v>3749</v>
      </c>
      <c r="B7" s="3">
        <v>2003.7539999999999</v>
      </c>
      <c r="C7" t="s">
        <v>22</v>
      </c>
      <c r="D7" t="s">
        <v>23</v>
      </c>
      <c r="E7" t="s">
        <v>67</v>
      </c>
      <c r="F7">
        <v>0</v>
      </c>
      <c r="G7">
        <v>741</v>
      </c>
      <c r="H7" t="s">
        <v>84</v>
      </c>
      <c r="I7" t="s">
        <v>85</v>
      </c>
      <c r="J7" s="1">
        <v>1305924</v>
      </c>
      <c r="K7" s="1">
        <v>5051897</v>
      </c>
      <c r="L7" t="s">
        <v>86</v>
      </c>
      <c r="M7" s="2">
        <v>47319</v>
      </c>
      <c r="N7" t="s">
        <v>28</v>
      </c>
      <c r="O7" t="s">
        <v>87</v>
      </c>
      <c r="Q7">
        <v>20220315</v>
      </c>
      <c r="S7" t="s">
        <v>88</v>
      </c>
      <c r="T7">
        <v>1305924</v>
      </c>
      <c r="U7">
        <v>5051897</v>
      </c>
      <c r="V7">
        <v>2193</v>
      </c>
      <c r="X7" s="22">
        <v>2003.7539999999999</v>
      </c>
      <c r="Y7" t="b">
        <f t="shared" si="0"/>
        <v>1</v>
      </c>
      <c r="AA7" s="22">
        <v>2003.7539999999999</v>
      </c>
      <c r="AB7" t="s">
        <v>22</v>
      </c>
      <c r="AC7" t="s">
        <v>23</v>
      </c>
      <c r="AD7" t="s">
        <v>84</v>
      </c>
      <c r="AE7" t="s">
        <v>85</v>
      </c>
      <c r="AF7" s="5">
        <v>1305924</v>
      </c>
      <c r="AG7" s="5">
        <v>5051897</v>
      </c>
      <c r="AH7" s="25">
        <v>47319</v>
      </c>
      <c r="AI7" t="s">
        <v>28</v>
      </c>
      <c r="AJ7" t="s">
        <v>87</v>
      </c>
      <c r="AK7">
        <v>1305924</v>
      </c>
      <c r="AL7">
        <v>5051897</v>
      </c>
      <c r="AN7" t="s">
        <v>337</v>
      </c>
      <c r="AO7">
        <v>22</v>
      </c>
      <c r="AQ7">
        <v>1900</v>
      </c>
      <c r="AR7">
        <v>13305.6</v>
      </c>
      <c r="AS7">
        <v>57784.3</v>
      </c>
      <c r="AT7" s="19">
        <v>346706</v>
      </c>
      <c r="AU7" t="s">
        <v>329</v>
      </c>
      <c r="AX7">
        <v>1</v>
      </c>
      <c r="AY7" s="16" t="s">
        <v>314</v>
      </c>
      <c r="AZ7" s="16" t="s">
        <v>315</v>
      </c>
      <c r="BA7" s="16" t="s">
        <v>316</v>
      </c>
      <c r="BC7">
        <v>35</v>
      </c>
      <c r="BD7">
        <v>300</v>
      </c>
    </row>
    <row r="8" spans="1:89" x14ac:dyDescent="0.25">
      <c r="A8">
        <v>4555</v>
      </c>
      <c r="B8" s="3">
        <v>2004.587</v>
      </c>
      <c r="C8" t="s">
        <v>22</v>
      </c>
      <c r="D8" t="s">
        <v>23</v>
      </c>
      <c r="E8" t="s">
        <v>90</v>
      </c>
      <c r="F8">
        <v>0</v>
      </c>
      <c r="G8">
        <v>579</v>
      </c>
      <c r="H8" t="s">
        <v>94</v>
      </c>
      <c r="I8" t="s">
        <v>95</v>
      </c>
      <c r="J8" s="1">
        <v>1305427</v>
      </c>
      <c r="K8" s="1">
        <v>5047394</v>
      </c>
      <c r="L8" t="s">
        <v>96</v>
      </c>
      <c r="M8" s="2">
        <v>47329</v>
      </c>
      <c r="N8" t="s">
        <v>28</v>
      </c>
      <c r="O8" t="s">
        <v>97</v>
      </c>
      <c r="Q8">
        <v>20220315</v>
      </c>
      <c r="S8" t="s">
        <v>98</v>
      </c>
      <c r="T8">
        <v>1305427</v>
      </c>
      <c r="U8">
        <v>5047394</v>
      </c>
      <c r="V8">
        <v>2193</v>
      </c>
      <c r="X8" s="22">
        <v>2004.587</v>
      </c>
      <c r="Y8" t="b">
        <f t="shared" si="0"/>
        <v>1</v>
      </c>
      <c r="AA8" s="22">
        <v>2004.587</v>
      </c>
      <c r="AB8" t="s">
        <v>22</v>
      </c>
      <c r="AC8" t="s">
        <v>23</v>
      </c>
      <c r="AD8" t="s">
        <v>94</v>
      </c>
      <c r="AE8" t="s">
        <v>95</v>
      </c>
      <c r="AF8" s="5">
        <v>1305427</v>
      </c>
      <c r="AG8" s="5">
        <v>5047394</v>
      </c>
      <c r="AH8" s="25">
        <v>47329</v>
      </c>
      <c r="AI8" t="s">
        <v>28</v>
      </c>
      <c r="AJ8" t="s">
        <v>97</v>
      </c>
      <c r="AK8">
        <v>1305427</v>
      </c>
      <c r="AL8">
        <v>5047394</v>
      </c>
      <c r="AM8" s="15"/>
      <c r="AN8" s="16" t="s">
        <v>339</v>
      </c>
      <c r="AO8" s="16">
        <v>1.2</v>
      </c>
      <c r="AP8" s="16"/>
      <c r="AQ8" s="16">
        <v>75</v>
      </c>
      <c r="AR8" s="16">
        <v>525</v>
      </c>
      <c r="AS8" s="16">
        <v>2273.25</v>
      </c>
      <c r="AT8" s="17">
        <v>10998</v>
      </c>
      <c r="AU8" s="16" t="s">
        <v>329</v>
      </c>
      <c r="AV8" s="16"/>
      <c r="AW8" s="16"/>
      <c r="AX8" s="16">
        <v>1</v>
      </c>
      <c r="AY8" s="16" t="s">
        <v>314</v>
      </c>
      <c r="AZ8" s="16" t="s">
        <v>315</v>
      </c>
      <c r="BA8" s="16" t="s">
        <v>316</v>
      </c>
      <c r="BB8" s="18"/>
      <c r="BC8">
        <v>21.26</v>
      </c>
      <c r="BD8">
        <v>125</v>
      </c>
      <c r="BE8">
        <v>12.97</v>
      </c>
    </row>
    <row r="9" spans="1:89" x14ac:dyDescent="0.25">
      <c r="A9">
        <v>7528</v>
      </c>
      <c r="B9" s="3">
        <v>2008.1320000000001</v>
      </c>
      <c r="C9" t="s">
        <v>22</v>
      </c>
      <c r="D9" t="s">
        <v>23</v>
      </c>
      <c r="E9" t="s">
        <v>112</v>
      </c>
      <c r="F9">
        <v>0</v>
      </c>
      <c r="G9">
        <v>145</v>
      </c>
      <c r="H9" t="s">
        <v>113</v>
      </c>
      <c r="I9" t="s">
        <v>114</v>
      </c>
      <c r="J9" s="1">
        <v>1303566</v>
      </c>
      <c r="K9" s="1">
        <v>5048821</v>
      </c>
      <c r="L9" t="s">
        <v>115</v>
      </c>
      <c r="M9" s="2">
        <v>49009</v>
      </c>
      <c r="N9" t="s">
        <v>28</v>
      </c>
      <c r="O9" t="s">
        <v>116</v>
      </c>
      <c r="Q9">
        <v>20220315</v>
      </c>
      <c r="S9" t="s">
        <v>117</v>
      </c>
      <c r="T9">
        <v>1303566</v>
      </c>
      <c r="U9">
        <v>5048821</v>
      </c>
      <c r="V9">
        <v>2193</v>
      </c>
      <c r="X9" s="22">
        <v>2008.1320000000001</v>
      </c>
      <c r="Y9" t="b">
        <f t="shared" si="0"/>
        <v>1</v>
      </c>
      <c r="AA9" s="22">
        <v>2008.1320000000001</v>
      </c>
      <c r="AB9" t="s">
        <v>22</v>
      </c>
      <c r="AC9" t="s">
        <v>23</v>
      </c>
      <c r="AD9" t="s">
        <v>113</v>
      </c>
      <c r="AE9" t="s">
        <v>114</v>
      </c>
      <c r="AF9" s="5">
        <v>1303566</v>
      </c>
      <c r="AG9" s="5">
        <v>5048821</v>
      </c>
      <c r="AH9" s="25">
        <v>49009</v>
      </c>
      <c r="AI9" t="s">
        <v>28</v>
      </c>
      <c r="AJ9" t="s">
        <v>116</v>
      </c>
      <c r="AK9">
        <v>1303566</v>
      </c>
      <c r="AL9">
        <v>5048821</v>
      </c>
      <c r="AM9" s="15"/>
      <c r="AN9" s="16" t="s">
        <v>348</v>
      </c>
      <c r="AO9" s="16">
        <v>1.74</v>
      </c>
      <c r="AP9" s="16"/>
      <c r="AQ9" s="16">
        <v>150</v>
      </c>
      <c r="AR9" s="16"/>
      <c r="AS9" s="16">
        <v>4200</v>
      </c>
      <c r="AT9" s="17">
        <v>20250</v>
      </c>
      <c r="AU9" t="s">
        <v>329</v>
      </c>
      <c r="AV9" s="16"/>
      <c r="AW9" s="16"/>
      <c r="AX9" s="16">
        <v>1</v>
      </c>
      <c r="AY9" s="16" t="s">
        <v>314</v>
      </c>
      <c r="AZ9" s="16" t="s">
        <v>315</v>
      </c>
      <c r="BA9" s="16" t="s">
        <v>316</v>
      </c>
      <c r="BB9" s="18"/>
      <c r="BC9">
        <v>17.7</v>
      </c>
      <c r="BD9">
        <v>125</v>
      </c>
      <c r="BE9">
        <v>8.5</v>
      </c>
    </row>
    <row r="10" spans="1:89" x14ac:dyDescent="0.25">
      <c r="A10">
        <v>22656</v>
      </c>
      <c r="B10" s="3">
        <v>98162</v>
      </c>
      <c r="C10" t="s">
        <v>22</v>
      </c>
      <c r="D10" t="s">
        <v>23</v>
      </c>
      <c r="E10" t="s">
        <v>286</v>
      </c>
      <c r="F10">
        <v>0</v>
      </c>
      <c r="G10">
        <v>167</v>
      </c>
      <c r="H10" t="s">
        <v>287</v>
      </c>
      <c r="I10" t="s">
        <v>288</v>
      </c>
      <c r="J10" s="1">
        <v>1299120</v>
      </c>
      <c r="K10" s="1">
        <v>5049992</v>
      </c>
      <c r="L10" t="s">
        <v>289</v>
      </c>
      <c r="M10" s="2">
        <v>45078</v>
      </c>
      <c r="N10" t="s">
        <v>28</v>
      </c>
      <c r="O10" t="s">
        <v>290</v>
      </c>
      <c r="Q10">
        <v>20220315</v>
      </c>
      <c r="S10" t="s">
        <v>291</v>
      </c>
      <c r="T10">
        <v>1299120</v>
      </c>
      <c r="U10">
        <v>5049992</v>
      </c>
      <c r="V10">
        <v>2193</v>
      </c>
      <c r="X10" s="22">
        <v>98162</v>
      </c>
      <c r="Y10" t="b">
        <f t="shared" si="0"/>
        <v>1</v>
      </c>
      <c r="AA10" s="22">
        <v>98162</v>
      </c>
      <c r="AB10" t="s">
        <v>22</v>
      </c>
      <c r="AC10" t="s">
        <v>23</v>
      </c>
      <c r="AD10" t="s">
        <v>287</v>
      </c>
      <c r="AE10" t="s">
        <v>288</v>
      </c>
      <c r="AF10" s="5">
        <v>1299120</v>
      </c>
      <c r="AG10" s="5">
        <v>5049992</v>
      </c>
      <c r="AH10" s="25">
        <v>45078</v>
      </c>
      <c r="AI10" t="s">
        <v>28</v>
      </c>
      <c r="AJ10" t="s">
        <v>290</v>
      </c>
      <c r="AK10">
        <v>1299120</v>
      </c>
      <c r="AL10">
        <v>5049992</v>
      </c>
      <c r="AM10" s="15"/>
      <c r="AN10" s="16" t="s">
        <v>380</v>
      </c>
      <c r="AO10" s="16">
        <v>1</v>
      </c>
      <c r="AP10" s="16"/>
      <c r="AQ10" s="16">
        <v>12</v>
      </c>
      <c r="AR10" s="16"/>
      <c r="AS10" s="16"/>
      <c r="AT10" s="26">
        <f t="shared" ref="AT10:AT11" si="1">AQ10*90</f>
        <v>1080</v>
      </c>
      <c r="AU10" s="16" t="s">
        <v>364</v>
      </c>
      <c r="AV10" s="16"/>
      <c r="AW10" s="16"/>
      <c r="AX10" s="16">
        <v>1</v>
      </c>
      <c r="AY10" s="16" t="s">
        <v>314</v>
      </c>
      <c r="AZ10" s="16" t="s">
        <v>315</v>
      </c>
      <c r="BA10" s="16" t="s">
        <v>316</v>
      </c>
      <c r="BB10" s="18"/>
      <c r="BC10">
        <v>20</v>
      </c>
      <c r="BD10">
        <v>100</v>
      </c>
    </row>
    <row r="11" spans="1:89" x14ac:dyDescent="0.25">
      <c r="A11">
        <v>364</v>
      </c>
      <c r="B11" s="3" t="s">
        <v>36</v>
      </c>
      <c r="C11" t="s">
        <v>22</v>
      </c>
      <c r="D11" t="s">
        <v>23</v>
      </c>
      <c r="E11" t="s">
        <v>24</v>
      </c>
      <c r="F11">
        <v>0</v>
      </c>
      <c r="G11">
        <v>370</v>
      </c>
      <c r="H11" t="s">
        <v>37</v>
      </c>
      <c r="I11" t="s">
        <v>38</v>
      </c>
      <c r="J11" s="1">
        <v>1300686</v>
      </c>
      <c r="K11" s="1">
        <v>5049781</v>
      </c>
      <c r="L11" t="s">
        <v>39</v>
      </c>
      <c r="M11" s="2">
        <v>45953</v>
      </c>
      <c r="N11" t="s">
        <v>28</v>
      </c>
      <c r="O11" t="s">
        <v>40</v>
      </c>
      <c r="Q11">
        <v>20220315</v>
      </c>
      <c r="S11" t="s">
        <v>41</v>
      </c>
      <c r="T11">
        <v>1300686</v>
      </c>
      <c r="U11">
        <v>5049781</v>
      </c>
      <c r="V11">
        <v>2193</v>
      </c>
      <c r="X11" s="22" t="s">
        <v>36</v>
      </c>
      <c r="Y11" t="b">
        <f t="shared" si="0"/>
        <v>1</v>
      </c>
      <c r="AA11" s="22" t="s">
        <v>36</v>
      </c>
      <c r="AB11" t="s">
        <v>22</v>
      </c>
      <c r="AC11" t="s">
        <v>23</v>
      </c>
      <c r="AD11" t="s">
        <v>37</v>
      </c>
      <c r="AE11" t="s">
        <v>38</v>
      </c>
      <c r="AF11" s="5">
        <v>1300686</v>
      </c>
      <c r="AG11" s="5">
        <v>5049781</v>
      </c>
      <c r="AH11" s="25">
        <v>45953</v>
      </c>
      <c r="AI11" t="s">
        <v>28</v>
      </c>
      <c r="AJ11" t="s">
        <v>40</v>
      </c>
      <c r="AK11">
        <v>1300686</v>
      </c>
      <c r="AL11">
        <v>5049781</v>
      </c>
      <c r="AM11" s="15"/>
      <c r="AN11" s="16" t="s">
        <v>331</v>
      </c>
      <c r="AO11" s="16">
        <v>2.8</v>
      </c>
      <c r="AP11" s="16"/>
      <c r="AQ11" s="16">
        <v>95</v>
      </c>
      <c r="AR11" s="16"/>
      <c r="AS11" s="16">
        <v>2850</v>
      </c>
      <c r="AT11" s="26">
        <f t="shared" si="1"/>
        <v>8550</v>
      </c>
      <c r="AU11" s="16" t="s">
        <v>327</v>
      </c>
      <c r="AV11" s="16"/>
      <c r="AW11" s="16"/>
      <c r="AX11" s="16">
        <v>1</v>
      </c>
      <c r="AY11" s="16" t="s">
        <v>314</v>
      </c>
      <c r="AZ11" s="16" t="s">
        <v>315</v>
      </c>
      <c r="BA11" s="16" t="s">
        <v>316</v>
      </c>
      <c r="BB11" s="18"/>
      <c r="BC11">
        <v>45.7</v>
      </c>
      <c r="BD11">
        <v>150</v>
      </c>
      <c r="BE11">
        <v>40.25</v>
      </c>
    </row>
    <row r="12" spans="1:89" x14ac:dyDescent="0.25">
      <c r="A12">
        <v>2333</v>
      </c>
      <c r="B12" s="3" t="s">
        <v>48</v>
      </c>
      <c r="C12" t="s">
        <v>22</v>
      </c>
      <c r="D12" t="s">
        <v>23</v>
      </c>
      <c r="E12" t="s">
        <v>49</v>
      </c>
      <c r="F12">
        <v>0</v>
      </c>
      <c r="G12">
        <v>165</v>
      </c>
      <c r="H12" t="s">
        <v>50</v>
      </c>
      <c r="I12" t="s">
        <v>51</v>
      </c>
      <c r="J12" s="1">
        <v>1306226</v>
      </c>
      <c r="K12" s="1">
        <v>5050096</v>
      </c>
      <c r="L12" t="s">
        <v>52</v>
      </c>
      <c r="M12" s="2">
        <v>46654</v>
      </c>
      <c r="N12" t="s">
        <v>28</v>
      </c>
      <c r="O12" t="s">
        <v>53</v>
      </c>
      <c r="Q12">
        <v>20220315</v>
      </c>
      <c r="S12" t="s">
        <v>54</v>
      </c>
      <c r="T12">
        <v>1306226</v>
      </c>
      <c r="U12">
        <v>5050096</v>
      </c>
      <c r="V12">
        <v>2193</v>
      </c>
      <c r="X12" s="22" t="s">
        <v>48</v>
      </c>
      <c r="Y12" t="b">
        <f t="shared" si="0"/>
        <v>1</v>
      </c>
      <c r="AA12" s="22" t="s">
        <v>48</v>
      </c>
      <c r="AB12" t="s">
        <v>22</v>
      </c>
      <c r="AC12" t="s">
        <v>23</v>
      </c>
      <c r="AD12" t="s">
        <v>50</v>
      </c>
      <c r="AE12" t="s">
        <v>51</v>
      </c>
      <c r="AF12" s="5">
        <v>1306226</v>
      </c>
      <c r="AG12" s="5">
        <v>5050096</v>
      </c>
      <c r="AH12" s="25">
        <v>46654</v>
      </c>
      <c r="AI12" t="s">
        <v>28</v>
      </c>
      <c r="AJ12" t="s">
        <v>53</v>
      </c>
      <c r="AK12">
        <v>1306226</v>
      </c>
      <c r="AL12">
        <v>5050096</v>
      </c>
      <c r="AM12" s="15"/>
      <c r="AN12" s="16" t="s">
        <v>332</v>
      </c>
      <c r="AO12" s="16">
        <v>30</v>
      </c>
      <c r="AP12" s="16"/>
      <c r="AQ12" s="16">
        <v>2484</v>
      </c>
      <c r="AR12" s="16"/>
      <c r="AS12" s="16">
        <v>17388</v>
      </c>
      <c r="AT12" s="17">
        <v>67068</v>
      </c>
      <c r="AU12" s="16" t="s">
        <v>329</v>
      </c>
      <c r="AV12" s="16"/>
      <c r="AW12" s="16"/>
      <c r="AX12" s="16">
        <v>1</v>
      </c>
      <c r="AY12" s="16" t="s">
        <v>314</v>
      </c>
      <c r="AZ12" s="16" t="s">
        <v>315</v>
      </c>
      <c r="BA12" s="16" t="s">
        <v>316</v>
      </c>
      <c r="BB12" s="18"/>
      <c r="BC12">
        <v>30.28</v>
      </c>
      <c r="BD12">
        <v>250</v>
      </c>
    </row>
    <row r="13" spans="1:89" x14ac:dyDescent="0.25">
      <c r="A13">
        <v>2584</v>
      </c>
      <c r="B13" s="3" t="s">
        <v>55</v>
      </c>
      <c r="C13" t="s">
        <v>22</v>
      </c>
      <c r="D13" t="s">
        <v>23</v>
      </c>
      <c r="E13" t="s">
        <v>49</v>
      </c>
      <c r="F13">
        <v>0</v>
      </c>
      <c r="G13">
        <v>416</v>
      </c>
      <c r="H13" t="s">
        <v>56</v>
      </c>
      <c r="I13" t="s">
        <v>57</v>
      </c>
      <c r="J13" s="1">
        <v>1297819</v>
      </c>
      <c r="K13" s="1">
        <v>5050491</v>
      </c>
      <c r="L13" t="s">
        <v>58</v>
      </c>
      <c r="M13" s="2">
        <v>46631</v>
      </c>
      <c r="N13" t="s">
        <v>28</v>
      </c>
      <c r="O13" t="s">
        <v>59</v>
      </c>
      <c r="Q13">
        <v>20220315</v>
      </c>
      <c r="S13" t="s">
        <v>60</v>
      </c>
      <c r="T13">
        <v>1297819</v>
      </c>
      <c r="U13">
        <v>5050491</v>
      </c>
      <c r="V13">
        <v>2193</v>
      </c>
      <c r="X13" s="22"/>
      <c r="AA13" s="22"/>
      <c r="AF13" s="5"/>
      <c r="AG13" s="5"/>
      <c r="AH13" s="25"/>
      <c r="AM13" s="15"/>
      <c r="AN13" s="16"/>
      <c r="AO13" s="16">
        <v>15</v>
      </c>
      <c r="AP13" s="16"/>
      <c r="AQ13" s="16"/>
      <c r="AR13" s="17">
        <v>9072</v>
      </c>
      <c r="AS13" s="16"/>
      <c r="AT13" s="26">
        <f>AR13*6</f>
        <v>54432</v>
      </c>
      <c r="AU13" s="16" t="s">
        <v>364</v>
      </c>
      <c r="AV13" s="16"/>
      <c r="AW13" s="16"/>
      <c r="AX13" s="16"/>
      <c r="AY13" s="16"/>
      <c r="AZ13" s="16"/>
      <c r="BA13" s="16"/>
      <c r="BB13" s="18"/>
    </row>
    <row r="14" spans="1:89" x14ac:dyDescent="0.25">
      <c r="A14">
        <v>3160</v>
      </c>
      <c r="B14" s="3" t="s">
        <v>66</v>
      </c>
      <c r="C14" t="s">
        <v>22</v>
      </c>
      <c r="D14" t="s">
        <v>23</v>
      </c>
      <c r="E14" t="s">
        <v>67</v>
      </c>
      <c r="F14">
        <v>0</v>
      </c>
      <c r="G14">
        <v>80</v>
      </c>
      <c r="H14" t="s">
        <v>68</v>
      </c>
      <c r="I14" t="s">
        <v>69</v>
      </c>
      <c r="J14" s="1">
        <v>1305126</v>
      </c>
      <c r="K14" s="1">
        <v>5047493</v>
      </c>
      <c r="L14" t="s">
        <v>70</v>
      </c>
      <c r="M14" s="2">
        <v>44986</v>
      </c>
      <c r="N14" t="s">
        <v>28</v>
      </c>
      <c r="O14" t="s">
        <v>71</v>
      </c>
      <c r="Q14">
        <v>20220315</v>
      </c>
      <c r="S14" t="s">
        <v>72</v>
      </c>
      <c r="T14">
        <v>1305126</v>
      </c>
      <c r="U14">
        <v>5047493</v>
      </c>
      <c r="V14">
        <v>2193</v>
      </c>
      <c r="X14" s="22" t="s">
        <v>66</v>
      </c>
      <c r="Y14" t="b">
        <f t="shared" ref="Y14:Y21" si="2">B14=X14</f>
        <v>1</v>
      </c>
      <c r="AA14" s="22" t="s">
        <v>66</v>
      </c>
      <c r="AB14" t="s">
        <v>22</v>
      </c>
      <c r="AC14" t="s">
        <v>23</v>
      </c>
      <c r="AD14" t="s">
        <v>68</v>
      </c>
      <c r="AE14" t="s">
        <v>69</v>
      </c>
      <c r="AF14" s="5">
        <v>1305126</v>
      </c>
      <c r="AG14" s="5">
        <v>5047493</v>
      </c>
      <c r="AH14" s="25">
        <v>44986</v>
      </c>
      <c r="AI14" t="s">
        <v>28</v>
      </c>
      <c r="AJ14" t="s">
        <v>71</v>
      </c>
      <c r="AK14">
        <v>1305126</v>
      </c>
      <c r="AL14">
        <v>5047493</v>
      </c>
      <c r="AM14" s="15"/>
      <c r="AN14" s="16" t="s">
        <v>334</v>
      </c>
      <c r="AO14" s="16">
        <v>1</v>
      </c>
      <c r="AP14" s="16"/>
      <c r="AQ14" s="16">
        <v>50</v>
      </c>
      <c r="AR14" s="16"/>
      <c r="AS14" s="16"/>
      <c r="AT14" s="26">
        <f>AQ14*90</f>
        <v>4500</v>
      </c>
      <c r="AU14" s="16" t="s">
        <v>329</v>
      </c>
      <c r="AV14" s="16"/>
      <c r="AW14" s="16"/>
      <c r="AX14" s="16">
        <v>1</v>
      </c>
      <c r="AY14" s="16" t="s">
        <v>314</v>
      </c>
      <c r="AZ14" s="16" t="s">
        <v>315</v>
      </c>
      <c r="BA14" s="16" t="s">
        <v>316</v>
      </c>
      <c r="BB14" s="18"/>
      <c r="BC14">
        <v>46.7</v>
      </c>
      <c r="BD14">
        <v>125</v>
      </c>
      <c r="BE14">
        <v>33.36</v>
      </c>
    </row>
    <row r="15" spans="1:89" x14ac:dyDescent="0.25">
      <c r="A15">
        <v>3630</v>
      </c>
      <c r="B15" s="3" t="s">
        <v>78</v>
      </c>
      <c r="C15" t="s">
        <v>22</v>
      </c>
      <c r="D15" t="s">
        <v>23</v>
      </c>
      <c r="E15" t="s">
        <v>67</v>
      </c>
      <c r="F15">
        <v>0</v>
      </c>
      <c r="G15">
        <v>624</v>
      </c>
      <c r="H15" t="s">
        <v>79</v>
      </c>
      <c r="I15" t="s">
        <v>80</v>
      </c>
      <c r="J15" s="1">
        <v>1306124</v>
      </c>
      <c r="K15" s="1">
        <v>5052098</v>
      </c>
      <c r="L15" t="s">
        <v>81</v>
      </c>
      <c r="M15" s="2">
        <v>46983</v>
      </c>
      <c r="N15" t="s">
        <v>28</v>
      </c>
      <c r="O15" t="s">
        <v>82</v>
      </c>
      <c r="Q15">
        <v>20220315</v>
      </c>
      <c r="S15" t="s">
        <v>83</v>
      </c>
      <c r="T15">
        <v>1306124</v>
      </c>
      <c r="U15">
        <v>5052098</v>
      </c>
      <c r="V15">
        <v>2193</v>
      </c>
      <c r="X15" s="22" t="s">
        <v>78</v>
      </c>
      <c r="Y15" t="b">
        <f t="shared" si="2"/>
        <v>1</v>
      </c>
      <c r="AA15" s="22" t="s">
        <v>78</v>
      </c>
      <c r="AB15" t="s">
        <v>22</v>
      </c>
      <c r="AC15" t="s">
        <v>23</v>
      </c>
      <c r="AD15" t="s">
        <v>79</v>
      </c>
      <c r="AE15" t="s">
        <v>80</v>
      </c>
      <c r="AF15" s="5">
        <v>1306124</v>
      </c>
      <c r="AG15" s="5">
        <v>5052098</v>
      </c>
      <c r="AH15" s="25">
        <v>46983</v>
      </c>
      <c r="AI15" t="s">
        <v>28</v>
      </c>
      <c r="AJ15" t="s">
        <v>82</v>
      </c>
      <c r="AK15">
        <v>1306124</v>
      </c>
      <c r="AL15">
        <v>5052098</v>
      </c>
      <c r="AM15" s="15"/>
      <c r="AN15" s="16" t="s">
        <v>336</v>
      </c>
      <c r="AO15" s="16">
        <v>10</v>
      </c>
      <c r="AP15" s="16"/>
      <c r="AQ15" s="16">
        <v>766</v>
      </c>
      <c r="AR15" s="16">
        <v>5363</v>
      </c>
      <c r="AS15" s="16">
        <v>23750</v>
      </c>
      <c r="AT15" s="17">
        <v>133000</v>
      </c>
      <c r="AU15" s="16" t="s">
        <v>329</v>
      </c>
      <c r="AV15" s="16"/>
      <c r="AW15" s="16"/>
      <c r="AX15" s="16">
        <v>1</v>
      </c>
      <c r="AY15" s="16" t="s">
        <v>314</v>
      </c>
      <c r="AZ15" s="16" t="s">
        <v>315</v>
      </c>
      <c r="BA15" s="16" t="s">
        <v>316</v>
      </c>
      <c r="BB15" s="18"/>
      <c r="BC15">
        <v>38.1</v>
      </c>
      <c r="BD15">
        <v>150</v>
      </c>
      <c r="BE15">
        <v>23.72</v>
      </c>
    </row>
    <row r="16" spans="1:89" x14ac:dyDescent="0.25">
      <c r="A16">
        <v>4001</v>
      </c>
      <c r="B16" s="3" t="s">
        <v>89</v>
      </c>
      <c r="C16" t="s">
        <v>22</v>
      </c>
      <c r="D16" t="s">
        <v>23</v>
      </c>
      <c r="E16" t="s">
        <v>90</v>
      </c>
      <c r="F16">
        <v>0</v>
      </c>
      <c r="G16">
        <v>19</v>
      </c>
      <c r="H16" t="s">
        <v>61</v>
      </c>
      <c r="I16" t="s">
        <v>62</v>
      </c>
      <c r="J16" s="1">
        <v>1305093</v>
      </c>
      <c r="K16" s="1">
        <v>5047989</v>
      </c>
      <c r="L16" t="s">
        <v>91</v>
      </c>
      <c r="M16" s="2">
        <v>47326</v>
      </c>
      <c r="N16" t="s">
        <v>28</v>
      </c>
      <c r="O16" t="s">
        <v>92</v>
      </c>
      <c r="Q16">
        <v>20220315</v>
      </c>
      <c r="S16" t="s">
        <v>93</v>
      </c>
      <c r="T16">
        <v>1305093</v>
      </c>
      <c r="U16">
        <v>5047989</v>
      </c>
      <c r="V16">
        <v>2193</v>
      </c>
      <c r="X16" s="22" t="s">
        <v>89</v>
      </c>
      <c r="Y16" t="b">
        <f t="shared" si="2"/>
        <v>1</v>
      </c>
      <c r="AA16" s="22" t="s">
        <v>89</v>
      </c>
      <c r="AB16" t="s">
        <v>22</v>
      </c>
      <c r="AC16" t="s">
        <v>23</v>
      </c>
      <c r="AD16" t="s">
        <v>61</v>
      </c>
      <c r="AE16" t="s">
        <v>62</v>
      </c>
      <c r="AF16" s="5">
        <v>1305093</v>
      </c>
      <c r="AG16" s="5">
        <v>5047989</v>
      </c>
      <c r="AH16" s="25">
        <v>47326</v>
      </c>
      <c r="AI16" t="s">
        <v>28</v>
      </c>
      <c r="AJ16" t="s">
        <v>92</v>
      </c>
      <c r="AK16">
        <v>1305093</v>
      </c>
      <c r="AL16">
        <v>5047989</v>
      </c>
      <c r="AM16" s="15"/>
      <c r="AN16" s="16" t="s">
        <v>338</v>
      </c>
      <c r="AO16" s="16">
        <v>3.5</v>
      </c>
      <c r="AP16" s="16"/>
      <c r="AQ16" s="16">
        <v>165</v>
      </c>
      <c r="AR16" s="16">
        <v>1155</v>
      </c>
      <c r="AS16" s="16">
        <v>5032.5</v>
      </c>
      <c r="AT16" s="26">
        <f>AQ16*90</f>
        <v>14850</v>
      </c>
      <c r="AU16" s="16" t="s">
        <v>329</v>
      </c>
      <c r="AV16" s="16"/>
      <c r="AW16" s="16"/>
      <c r="AX16" s="16">
        <v>1</v>
      </c>
      <c r="AY16" s="16" t="s">
        <v>314</v>
      </c>
      <c r="AZ16" s="16" t="s">
        <v>315</v>
      </c>
      <c r="BA16" s="16" t="s">
        <v>316</v>
      </c>
      <c r="BB16" s="18"/>
      <c r="BC16">
        <v>19.649999999999999</v>
      </c>
      <c r="BD16">
        <v>150</v>
      </c>
      <c r="BE16">
        <v>11.06</v>
      </c>
    </row>
    <row r="17" spans="1:87" x14ac:dyDescent="0.25">
      <c r="A17">
        <v>4825</v>
      </c>
      <c r="B17" s="3" t="s">
        <v>99</v>
      </c>
      <c r="C17" t="s">
        <v>22</v>
      </c>
      <c r="D17" t="s">
        <v>23</v>
      </c>
      <c r="E17" t="s">
        <v>90</v>
      </c>
      <c r="F17">
        <v>0</v>
      </c>
      <c r="G17">
        <v>862</v>
      </c>
      <c r="H17" t="s">
        <v>100</v>
      </c>
      <c r="I17" t="s">
        <v>101</v>
      </c>
      <c r="J17" s="1">
        <v>1303525</v>
      </c>
      <c r="K17" s="1">
        <v>5047592</v>
      </c>
      <c r="L17" t="s">
        <v>102</v>
      </c>
      <c r="M17" s="2">
        <v>47409</v>
      </c>
      <c r="N17" t="s">
        <v>28</v>
      </c>
      <c r="O17" t="s">
        <v>103</v>
      </c>
      <c r="Q17">
        <v>20220315</v>
      </c>
      <c r="S17" t="s">
        <v>104</v>
      </c>
      <c r="T17">
        <v>1303525</v>
      </c>
      <c r="U17">
        <v>5047592</v>
      </c>
      <c r="V17">
        <v>2193</v>
      </c>
      <c r="X17" s="22" t="s">
        <v>99</v>
      </c>
      <c r="Y17" t="b">
        <f t="shared" si="2"/>
        <v>1</v>
      </c>
      <c r="AA17" s="22" t="s">
        <v>99</v>
      </c>
      <c r="AB17" t="s">
        <v>22</v>
      </c>
      <c r="AC17" t="s">
        <v>23</v>
      </c>
      <c r="AD17" t="s">
        <v>100</v>
      </c>
      <c r="AE17" t="s">
        <v>101</v>
      </c>
      <c r="AF17" s="5">
        <v>1303525</v>
      </c>
      <c r="AG17" s="5">
        <v>5047592</v>
      </c>
      <c r="AH17" s="25">
        <v>47409</v>
      </c>
      <c r="AI17" t="s">
        <v>28</v>
      </c>
      <c r="AJ17" t="s">
        <v>103</v>
      </c>
      <c r="AK17">
        <v>1303525</v>
      </c>
      <c r="AL17">
        <v>5047592</v>
      </c>
      <c r="AM17" s="15"/>
      <c r="AN17" s="16" t="s">
        <v>340</v>
      </c>
      <c r="AO17" s="16">
        <v>4.7</v>
      </c>
      <c r="AP17" s="16"/>
      <c r="AQ17" s="16">
        <v>201</v>
      </c>
      <c r="AR17" s="16">
        <v>1407</v>
      </c>
      <c r="AS17" s="16">
        <v>6110.4</v>
      </c>
      <c r="AT17" s="17">
        <v>48883.199999999997</v>
      </c>
      <c r="AU17" s="16" t="s">
        <v>329</v>
      </c>
      <c r="AV17" s="16"/>
      <c r="AW17" s="16"/>
      <c r="AX17" s="16">
        <v>1</v>
      </c>
      <c r="AY17" s="16" t="s">
        <v>314</v>
      </c>
      <c r="AZ17" s="16" t="s">
        <v>315</v>
      </c>
      <c r="BA17" s="16" t="s">
        <v>316</v>
      </c>
      <c r="BB17" s="18"/>
      <c r="BC17">
        <v>58.63</v>
      </c>
      <c r="BD17">
        <v>150</v>
      </c>
      <c r="BE17">
        <v>41.64</v>
      </c>
    </row>
    <row r="18" spans="1:87" x14ac:dyDescent="0.25">
      <c r="A18">
        <v>5371</v>
      </c>
      <c r="B18" s="3" t="s">
        <v>105</v>
      </c>
      <c r="C18" t="s">
        <v>22</v>
      </c>
      <c r="D18" t="s">
        <v>23</v>
      </c>
      <c r="E18" t="s">
        <v>106</v>
      </c>
      <c r="F18">
        <v>0</v>
      </c>
      <c r="G18">
        <v>361</v>
      </c>
      <c r="H18" t="s">
        <v>107</v>
      </c>
      <c r="I18" t="s">
        <v>108</v>
      </c>
      <c r="J18" s="1">
        <v>1305226</v>
      </c>
      <c r="K18" s="1">
        <v>5048895</v>
      </c>
      <c r="L18" t="s">
        <v>109</v>
      </c>
      <c r="M18" s="2">
        <v>45962</v>
      </c>
      <c r="N18" t="s">
        <v>28</v>
      </c>
      <c r="O18" t="s">
        <v>110</v>
      </c>
      <c r="Q18">
        <v>20220315</v>
      </c>
      <c r="S18" t="s">
        <v>111</v>
      </c>
      <c r="T18">
        <v>1305226</v>
      </c>
      <c r="U18">
        <v>5048895</v>
      </c>
      <c r="V18">
        <v>2193</v>
      </c>
      <c r="X18" s="22" t="s">
        <v>105</v>
      </c>
      <c r="Y18" t="b">
        <f t="shared" si="2"/>
        <v>1</v>
      </c>
      <c r="AA18" s="22" t="s">
        <v>105</v>
      </c>
      <c r="AB18" t="s">
        <v>22</v>
      </c>
      <c r="AC18" t="s">
        <v>23</v>
      </c>
      <c r="AD18" t="s">
        <v>107</v>
      </c>
      <c r="AE18" t="s">
        <v>108</v>
      </c>
      <c r="AF18" s="5">
        <v>1305226</v>
      </c>
      <c r="AG18" s="5">
        <v>5048895</v>
      </c>
      <c r="AH18" s="25">
        <v>45962</v>
      </c>
      <c r="AI18" t="s">
        <v>28</v>
      </c>
      <c r="AJ18" t="s">
        <v>110</v>
      </c>
      <c r="AK18">
        <v>1305226</v>
      </c>
      <c r="AL18">
        <v>5048895</v>
      </c>
      <c r="AM18" s="15"/>
      <c r="AN18" s="16" t="s">
        <v>341</v>
      </c>
      <c r="AO18" s="16">
        <v>1.22</v>
      </c>
      <c r="AP18" s="16"/>
      <c r="AQ18" s="16">
        <v>63</v>
      </c>
      <c r="AR18" s="16">
        <v>441</v>
      </c>
      <c r="AS18" s="16"/>
      <c r="AT18" s="26">
        <f>AQ18*90</f>
        <v>5670</v>
      </c>
      <c r="AU18" s="16" t="s">
        <v>329</v>
      </c>
      <c r="AV18" s="16"/>
      <c r="AW18" s="16"/>
      <c r="AX18" s="16">
        <v>1</v>
      </c>
      <c r="AY18" s="16" t="s">
        <v>314</v>
      </c>
      <c r="AZ18" s="16" t="s">
        <v>315</v>
      </c>
      <c r="BA18" s="16" t="s">
        <v>316</v>
      </c>
      <c r="BB18" s="18"/>
      <c r="BC18">
        <v>19.829999999999998</v>
      </c>
      <c r="BD18">
        <v>125</v>
      </c>
      <c r="BE18">
        <v>7.92</v>
      </c>
    </row>
    <row r="19" spans="1:87" x14ac:dyDescent="0.25">
      <c r="A19">
        <v>8911</v>
      </c>
      <c r="B19" s="3" t="s">
        <v>118</v>
      </c>
      <c r="C19" t="s">
        <v>22</v>
      </c>
      <c r="D19" t="s">
        <v>23</v>
      </c>
      <c r="E19" t="s">
        <v>119</v>
      </c>
      <c r="F19">
        <v>0</v>
      </c>
      <c r="G19">
        <v>10</v>
      </c>
      <c r="H19" t="s">
        <v>120</v>
      </c>
      <c r="I19" t="s">
        <v>121</v>
      </c>
      <c r="J19" s="1">
        <v>1303925</v>
      </c>
      <c r="K19" s="1">
        <v>5048594</v>
      </c>
      <c r="L19" t="s">
        <v>122</v>
      </c>
      <c r="M19" s="2">
        <v>47868</v>
      </c>
      <c r="N19" t="s">
        <v>28</v>
      </c>
      <c r="O19" t="s">
        <v>123</v>
      </c>
      <c r="Q19">
        <v>20220315</v>
      </c>
      <c r="S19" t="s">
        <v>124</v>
      </c>
      <c r="T19">
        <v>1303925</v>
      </c>
      <c r="U19">
        <v>5048594</v>
      </c>
      <c r="V19">
        <v>2193</v>
      </c>
      <c r="X19" s="22" t="s">
        <v>118</v>
      </c>
      <c r="Y19" t="b">
        <f t="shared" si="2"/>
        <v>1</v>
      </c>
      <c r="AA19" s="22" t="s">
        <v>118</v>
      </c>
      <c r="AB19" t="s">
        <v>22</v>
      </c>
      <c r="AC19" t="s">
        <v>23</v>
      </c>
      <c r="AD19" t="s">
        <v>120</v>
      </c>
      <c r="AE19" t="s">
        <v>121</v>
      </c>
      <c r="AF19" s="5">
        <v>1303925</v>
      </c>
      <c r="AG19" s="5">
        <v>5048594</v>
      </c>
      <c r="AH19" s="25">
        <v>47868</v>
      </c>
      <c r="AI19" t="s">
        <v>28</v>
      </c>
      <c r="AJ19" t="s">
        <v>123</v>
      </c>
      <c r="AK19">
        <v>1303925</v>
      </c>
      <c r="AL19">
        <v>5048594</v>
      </c>
      <c r="AM19" s="15"/>
      <c r="AN19" s="16" t="s">
        <v>349</v>
      </c>
      <c r="AO19" s="16">
        <v>30</v>
      </c>
      <c r="AP19" s="16"/>
      <c r="AQ19" s="16">
        <v>1000</v>
      </c>
      <c r="AR19" s="16">
        <v>6000</v>
      </c>
      <c r="AS19" s="16">
        <v>24000</v>
      </c>
      <c r="AT19" s="17">
        <v>288000</v>
      </c>
      <c r="AU19" s="16" t="s">
        <v>329</v>
      </c>
      <c r="AV19" s="16"/>
      <c r="AW19" s="16"/>
      <c r="AX19" s="16">
        <v>0</v>
      </c>
      <c r="AY19" s="16" t="s">
        <v>314</v>
      </c>
      <c r="AZ19" s="16" t="s">
        <v>315</v>
      </c>
      <c r="BA19" s="16" t="s">
        <v>316</v>
      </c>
      <c r="BB19" s="18"/>
      <c r="BC19" t="s">
        <v>350</v>
      </c>
    </row>
    <row r="20" spans="1:87" x14ac:dyDescent="0.25">
      <c r="A20">
        <v>9569</v>
      </c>
      <c r="B20" s="3" t="s">
        <v>125</v>
      </c>
      <c r="C20" t="s">
        <v>22</v>
      </c>
      <c r="D20" t="s">
        <v>23</v>
      </c>
      <c r="E20" t="s">
        <v>126</v>
      </c>
      <c r="F20">
        <v>0</v>
      </c>
      <c r="G20" t="s">
        <v>127</v>
      </c>
      <c r="H20" t="s">
        <v>43</v>
      </c>
      <c r="I20" t="s">
        <v>44</v>
      </c>
      <c r="J20" s="1">
        <v>1302496</v>
      </c>
      <c r="K20" s="1">
        <v>5047325</v>
      </c>
      <c r="L20" t="s">
        <v>128</v>
      </c>
      <c r="M20" s="2">
        <v>49952</v>
      </c>
      <c r="N20" t="s">
        <v>28</v>
      </c>
      <c r="O20" t="s">
        <v>129</v>
      </c>
      <c r="Q20">
        <v>20220315</v>
      </c>
      <c r="S20" t="s">
        <v>130</v>
      </c>
      <c r="T20">
        <v>1302496</v>
      </c>
      <c r="U20">
        <v>5047325</v>
      </c>
      <c r="V20">
        <v>2193</v>
      </c>
      <c r="X20" s="22" t="s">
        <v>125</v>
      </c>
      <c r="Y20" t="b">
        <f t="shared" si="2"/>
        <v>1</v>
      </c>
      <c r="Z20" s="4"/>
      <c r="AA20" s="22" t="s">
        <v>125</v>
      </c>
      <c r="AB20" t="s">
        <v>22</v>
      </c>
      <c r="AC20" t="s">
        <v>23</v>
      </c>
      <c r="AD20" t="s">
        <v>43</v>
      </c>
      <c r="AE20" t="s">
        <v>44</v>
      </c>
      <c r="AF20" s="5">
        <v>1302496</v>
      </c>
      <c r="AG20" s="5">
        <v>5047325</v>
      </c>
      <c r="AH20" s="25">
        <v>49952</v>
      </c>
      <c r="AI20" t="s">
        <v>28</v>
      </c>
      <c r="AJ20" t="s">
        <v>129</v>
      </c>
      <c r="AK20">
        <v>1302496</v>
      </c>
      <c r="AL20">
        <v>5047325</v>
      </c>
      <c r="AM20" s="15"/>
      <c r="AN20" s="16" t="s">
        <v>352</v>
      </c>
      <c r="AO20" s="16">
        <v>50</v>
      </c>
      <c r="AP20" s="16"/>
      <c r="AQ20" s="16">
        <v>4320</v>
      </c>
      <c r="AR20" s="16"/>
      <c r="AS20" s="16">
        <v>120960</v>
      </c>
      <c r="AT20" s="17">
        <v>500.06200000000001</v>
      </c>
      <c r="AU20" s="16" t="s">
        <v>329</v>
      </c>
      <c r="AV20" s="16"/>
      <c r="AW20" s="16"/>
      <c r="AX20" s="16">
        <v>1</v>
      </c>
      <c r="AY20" s="16" t="s">
        <v>314</v>
      </c>
      <c r="AZ20" s="16" t="s">
        <v>315</v>
      </c>
      <c r="BA20" s="16" t="s">
        <v>316</v>
      </c>
      <c r="BB20" s="18"/>
      <c r="BC20">
        <v>47.7</v>
      </c>
      <c r="BD20">
        <v>300</v>
      </c>
      <c r="BE20">
        <v>16.899999999999999</v>
      </c>
      <c r="BG20" s="22"/>
      <c r="BL20" s="5"/>
      <c r="BM20" s="5"/>
      <c r="BN20" s="2"/>
      <c r="BS20" s="15"/>
      <c r="BT20" s="16"/>
      <c r="BU20" s="16"/>
      <c r="BV20" s="16"/>
      <c r="BW20" s="16"/>
      <c r="BX20" s="16"/>
      <c r="BY20" s="16"/>
      <c r="BZ20" s="17"/>
      <c r="CA20" s="16"/>
      <c r="CB20" s="16"/>
      <c r="CC20" s="16"/>
      <c r="CD20" s="16"/>
      <c r="CE20" s="16"/>
      <c r="CF20" s="16"/>
      <c r="CG20" s="16"/>
      <c r="CH20" s="18"/>
    </row>
    <row r="21" spans="1:87" x14ac:dyDescent="0.25">
      <c r="A21">
        <v>9666</v>
      </c>
      <c r="B21" s="3" t="s">
        <v>131</v>
      </c>
      <c r="C21" t="s">
        <v>22</v>
      </c>
      <c r="D21" t="s">
        <v>23</v>
      </c>
      <c r="E21" t="s">
        <v>126</v>
      </c>
      <c r="F21">
        <v>0</v>
      </c>
      <c r="G21" t="s">
        <v>132</v>
      </c>
      <c r="H21" t="s">
        <v>43</v>
      </c>
      <c r="I21" t="s">
        <v>44</v>
      </c>
      <c r="J21" s="1">
        <v>1302344</v>
      </c>
      <c r="K21" s="1">
        <v>5047191</v>
      </c>
      <c r="L21" t="s">
        <v>133</v>
      </c>
      <c r="M21" s="2">
        <v>50051</v>
      </c>
      <c r="N21" t="s">
        <v>28</v>
      </c>
      <c r="O21" t="s">
        <v>129</v>
      </c>
      <c r="Q21">
        <v>20220315</v>
      </c>
      <c r="S21" t="s">
        <v>134</v>
      </c>
      <c r="T21">
        <v>1302344</v>
      </c>
      <c r="U21">
        <v>5047191</v>
      </c>
      <c r="V21">
        <v>2193</v>
      </c>
      <c r="X21" s="22" t="s">
        <v>131</v>
      </c>
      <c r="Y21" t="b">
        <f t="shared" si="2"/>
        <v>1</v>
      </c>
      <c r="Z21" s="4"/>
      <c r="AA21" s="22" t="s">
        <v>131</v>
      </c>
      <c r="AB21" t="s">
        <v>22</v>
      </c>
      <c r="AC21" t="s">
        <v>23</v>
      </c>
      <c r="AD21" t="s">
        <v>43</v>
      </c>
      <c r="AE21" t="s">
        <v>44</v>
      </c>
      <c r="AF21" s="5">
        <v>1302344</v>
      </c>
      <c r="AG21" s="5">
        <v>5047191</v>
      </c>
      <c r="AH21" s="25">
        <v>50051</v>
      </c>
      <c r="AI21" t="s">
        <v>28</v>
      </c>
      <c r="AJ21" t="s">
        <v>129</v>
      </c>
      <c r="AK21">
        <v>1302344</v>
      </c>
      <c r="AL21">
        <v>5047191</v>
      </c>
      <c r="AM21" s="15"/>
      <c r="AN21" s="16" t="s">
        <v>353</v>
      </c>
      <c r="AO21" s="16">
        <v>58</v>
      </c>
      <c r="AP21" s="16"/>
      <c r="AQ21" s="16">
        <v>5011</v>
      </c>
      <c r="AR21" s="16"/>
      <c r="AS21" s="16">
        <v>155341</v>
      </c>
      <c r="AT21" s="17">
        <v>660450</v>
      </c>
      <c r="AU21" s="16" t="s">
        <v>329</v>
      </c>
      <c r="AV21" s="16"/>
      <c r="AW21" s="16"/>
      <c r="AX21" s="16">
        <v>1</v>
      </c>
      <c r="AY21" s="16" t="s">
        <v>314</v>
      </c>
      <c r="AZ21" s="16" t="s">
        <v>315</v>
      </c>
      <c r="BA21" s="16" t="s">
        <v>316</v>
      </c>
      <c r="BB21" s="18"/>
      <c r="BC21">
        <v>52.3</v>
      </c>
      <c r="BD21">
        <v>300</v>
      </c>
      <c r="BE21">
        <v>20.100000000000001</v>
      </c>
      <c r="BG21" s="22"/>
      <c r="BL21" s="5"/>
      <c r="BM21" s="5"/>
      <c r="BN21" s="2"/>
      <c r="BS21" s="15"/>
      <c r="BT21" s="16"/>
      <c r="BU21" s="16"/>
      <c r="BV21" s="16"/>
      <c r="BW21" s="16"/>
      <c r="BX21" s="16"/>
      <c r="BY21" s="16"/>
      <c r="BZ21" s="17"/>
      <c r="CA21" s="16"/>
      <c r="CB21" s="16"/>
      <c r="CC21" s="16"/>
      <c r="CD21" s="16"/>
      <c r="CE21" s="16"/>
      <c r="CF21" s="16"/>
      <c r="CG21" s="16"/>
      <c r="CH21" s="18"/>
    </row>
    <row r="22" spans="1:87" x14ac:dyDescent="0.25">
      <c r="A22">
        <v>10022</v>
      </c>
      <c r="B22" s="3" t="s">
        <v>135</v>
      </c>
      <c r="C22" t="s">
        <v>22</v>
      </c>
      <c r="D22" t="s">
        <v>23</v>
      </c>
      <c r="E22" t="s">
        <v>136</v>
      </c>
      <c r="F22">
        <v>0</v>
      </c>
      <c r="G22" t="s">
        <v>137</v>
      </c>
      <c r="H22" t="s">
        <v>138</v>
      </c>
      <c r="I22" t="s">
        <v>139</v>
      </c>
      <c r="J22" s="1">
        <v>1302328</v>
      </c>
      <c r="K22" s="1">
        <v>5046003</v>
      </c>
      <c r="L22" t="s">
        <v>140</v>
      </c>
      <c r="M22" s="2">
        <v>50261</v>
      </c>
      <c r="N22" t="s">
        <v>28</v>
      </c>
      <c r="O22" t="s">
        <v>141</v>
      </c>
      <c r="Q22">
        <v>20220315</v>
      </c>
      <c r="R22" s="4"/>
      <c r="S22" t="s">
        <v>142</v>
      </c>
      <c r="T22">
        <v>1302328</v>
      </c>
      <c r="U22">
        <v>5046003</v>
      </c>
      <c r="V22">
        <v>2193</v>
      </c>
      <c r="X22" s="22"/>
      <c r="AA22" s="22"/>
      <c r="AF22" s="5"/>
      <c r="AG22" s="5"/>
      <c r="AH22" s="25"/>
      <c r="AM22" s="15"/>
      <c r="AN22" s="16" t="s">
        <v>386</v>
      </c>
      <c r="AO22">
        <v>17</v>
      </c>
      <c r="AP22" s="16"/>
      <c r="AQ22" s="16"/>
      <c r="AR22" s="16"/>
      <c r="AS22" s="16"/>
      <c r="AT22" s="26">
        <f>((AO22*86.4)/2)*90</f>
        <v>66096.000000000015</v>
      </c>
      <c r="AU22" s="16" t="s">
        <v>387</v>
      </c>
      <c r="AV22" s="16"/>
      <c r="AW22" s="16"/>
      <c r="AX22" s="16"/>
      <c r="AY22" s="16"/>
      <c r="AZ22" s="16"/>
      <c r="BA22" s="16"/>
      <c r="BB22" s="18"/>
      <c r="BC22">
        <v>101</v>
      </c>
      <c r="BD22">
        <v>150</v>
      </c>
      <c r="BE22">
        <v>75.2</v>
      </c>
    </row>
    <row r="23" spans="1:87" x14ac:dyDescent="0.25">
      <c r="A23">
        <v>10078</v>
      </c>
      <c r="B23" s="3" t="s">
        <v>143</v>
      </c>
      <c r="C23" t="s">
        <v>22</v>
      </c>
      <c r="D23" t="s">
        <v>23</v>
      </c>
      <c r="E23" t="s">
        <v>136</v>
      </c>
      <c r="F23">
        <v>0</v>
      </c>
      <c r="G23" t="s">
        <v>144</v>
      </c>
      <c r="H23" t="s">
        <v>145</v>
      </c>
      <c r="I23" t="s">
        <v>146</v>
      </c>
      <c r="J23" s="1">
        <v>1307841</v>
      </c>
      <c r="K23" s="1">
        <v>5042982</v>
      </c>
      <c r="L23" t="s">
        <v>147</v>
      </c>
      <c r="M23" s="2">
        <v>46711</v>
      </c>
      <c r="N23" t="s">
        <v>28</v>
      </c>
      <c r="O23" t="s">
        <v>148</v>
      </c>
      <c r="Q23">
        <v>20220315</v>
      </c>
      <c r="S23" t="s">
        <v>149</v>
      </c>
      <c r="T23">
        <v>1307841</v>
      </c>
      <c r="U23">
        <v>5042982</v>
      </c>
      <c r="V23">
        <v>2193</v>
      </c>
      <c r="X23" s="22" t="s">
        <v>143</v>
      </c>
      <c r="Y23" t="b">
        <f t="shared" ref="Y23:Y31" si="3">B23=X23</f>
        <v>1</v>
      </c>
      <c r="AA23" s="22" t="s">
        <v>143</v>
      </c>
      <c r="AB23" t="s">
        <v>22</v>
      </c>
      <c r="AC23" t="s">
        <v>23</v>
      </c>
      <c r="AD23" t="s">
        <v>145</v>
      </c>
      <c r="AE23" t="s">
        <v>318</v>
      </c>
      <c r="AF23" s="5">
        <v>1307841</v>
      </c>
      <c r="AG23" s="5">
        <v>5042982</v>
      </c>
      <c r="AH23" s="25">
        <v>46711</v>
      </c>
      <c r="AI23" t="s">
        <v>28</v>
      </c>
      <c r="AJ23" t="s">
        <v>148</v>
      </c>
      <c r="AK23">
        <v>1307841</v>
      </c>
      <c r="AL23">
        <v>5042982</v>
      </c>
      <c r="AM23" s="11" t="s">
        <v>143</v>
      </c>
      <c r="AN23" s="12" t="s">
        <v>319</v>
      </c>
      <c r="AO23" s="12"/>
      <c r="AP23" s="12"/>
      <c r="AQ23" s="12"/>
      <c r="AR23" s="12"/>
      <c r="AS23" s="12"/>
      <c r="AT23" s="27"/>
      <c r="AU23" s="12" t="s">
        <v>313</v>
      </c>
      <c r="AV23" s="12" t="s">
        <v>23</v>
      </c>
      <c r="AW23" s="12" t="s">
        <v>143</v>
      </c>
      <c r="AX23" s="12">
        <v>1</v>
      </c>
      <c r="AY23" s="12" t="s">
        <v>314</v>
      </c>
      <c r="AZ23" s="12" t="s">
        <v>315</v>
      </c>
      <c r="BA23" s="12" t="s">
        <v>316</v>
      </c>
      <c r="BB23" s="14" t="s">
        <v>317</v>
      </c>
    </row>
    <row r="24" spans="1:87" x14ac:dyDescent="0.25">
      <c r="A24">
        <v>10091</v>
      </c>
      <c r="B24" s="3" t="s">
        <v>150</v>
      </c>
      <c r="C24" t="s">
        <v>22</v>
      </c>
      <c r="D24" t="s">
        <v>23</v>
      </c>
      <c r="E24" t="s">
        <v>136</v>
      </c>
      <c r="F24">
        <v>0</v>
      </c>
      <c r="G24" t="s">
        <v>151</v>
      </c>
      <c r="H24" t="s">
        <v>152</v>
      </c>
      <c r="I24" t="s">
        <v>153</v>
      </c>
      <c r="J24" s="1">
        <v>1305944</v>
      </c>
      <c r="K24" s="1">
        <v>5050908</v>
      </c>
      <c r="L24" t="s">
        <v>154</v>
      </c>
      <c r="M24" s="2">
        <v>52135</v>
      </c>
      <c r="N24" t="s">
        <v>28</v>
      </c>
      <c r="O24" t="s">
        <v>155</v>
      </c>
      <c r="Q24">
        <v>20220315</v>
      </c>
      <c r="S24" t="s">
        <v>156</v>
      </c>
      <c r="T24">
        <v>1305944</v>
      </c>
      <c r="U24">
        <v>5050908</v>
      </c>
      <c r="V24">
        <v>2193</v>
      </c>
      <c r="X24" s="22" t="s">
        <v>150</v>
      </c>
      <c r="Y24" t="b">
        <f t="shared" si="3"/>
        <v>1</v>
      </c>
      <c r="AA24" s="22" t="s">
        <v>150</v>
      </c>
      <c r="AB24" t="s">
        <v>22</v>
      </c>
      <c r="AC24" t="s">
        <v>23</v>
      </c>
      <c r="AD24" t="s">
        <v>152</v>
      </c>
      <c r="AE24" t="s">
        <v>153</v>
      </c>
      <c r="AF24" s="5">
        <v>1305944</v>
      </c>
      <c r="AG24" s="5">
        <v>5050908</v>
      </c>
      <c r="AH24" s="25">
        <v>52135</v>
      </c>
      <c r="AI24" t="s">
        <v>28</v>
      </c>
      <c r="AJ24" t="s">
        <v>155</v>
      </c>
      <c r="AK24">
        <v>1305944</v>
      </c>
      <c r="AL24">
        <v>5050908</v>
      </c>
      <c r="AM24" s="15"/>
      <c r="AN24" s="16" t="s">
        <v>354</v>
      </c>
      <c r="AO24" s="16">
        <v>40</v>
      </c>
      <c r="AP24" s="16"/>
      <c r="AQ24" s="16">
        <v>3168</v>
      </c>
      <c r="AR24" s="16"/>
      <c r="AS24" s="16">
        <v>95040</v>
      </c>
      <c r="AT24" s="17">
        <v>600000</v>
      </c>
      <c r="AU24" s="16" t="s">
        <v>329</v>
      </c>
      <c r="AV24" s="16"/>
      <c r="AW24" s="16"/>
      <c r="AX24" s="16">
        <v>1</v>
      </c>
      <c r="AY24" s="16" t="s">
        <v>314</v>
      </c>
      <c r="AZ24" s="16" t="s">
        <v>315</v>
      </c>
      <c r="BA24" s="16" t="s">
        <v>316</v>
      </c>
      <c r="BB24" s="18"/>
      <c r="BC24">
        <v>32.299999999999997</v>
      </c>
      <c r="BD24">
        <v>200</v>
      </c>
      <c r="BE24">
        <v>16.93</v>
      </c>
    </row>
    <row r="25" spans="1:87" x14ac:dyDescent="0.25">
      <c r="A25">
        <v>10216</v>
      </c>
      <c r="B25" s="3" t="s">
        <v>157</v>
      </c>
      <c r="C25" t="s">
        <v>22</v>
      </c>
      <c r="D25" t="s">
        <v>23</v>
      </c>
      <c r="E25" t="s">
        <v>136</v>
      </c>
      <c r="F25">
        <v>0</v>
      </c>
      <c r="G25" t="s">
        <v>158</v>
      </c>
      <c r="H25" t="s">
        <v>159</v>
      </c>
      <c r="I25" t="s">
        <v>160</v>
      </c>
      <c r="J25" s="1">
        <v>1304136</v>
      </c>
      <c r="K25" s="1">
        <v>5050411</v>
      </c>
      <c r="M25" s="2">
        <v>52011</v>
      </c>
      <c r="N25" t="s">
        <v>28</v>
      </c>
      <c r="O25" t="s">
        <v>161</v>
      </c>
      <c r="Q25">
        <v>20220315</v>
      </c>
      <c r="S25" t="s">
        <v>162</v>
      </c>
      <c r="T25">
        <v>1304136</v>
      </c>
      <c r="U25">
        <v>5050411</v>
      </c>
      <c r="V25">
        <v>2193</v>
      </c>
      <c r="X25" s="22" t="s">
        <v>157</v>
      </c>
      <c r="Y25" t="b">
        <f t="shared" si="3"/>
        <v>1</v>
      </c>
      <c r="AA25" s="22" t="s">
        <v>157</v>
      </c>
      <c r="AB25" t="s">
        <v>22</v>
      </c>
      <c r="AC25" t="s">
        <v>23</v>
      </c>
      <c r="AD25" t="s">
        <v>159</v>
      </c>
      <c r="AE25" t="s">
        <v>160</v>
      </c>
      <c r="AF25" s="5">
        <v>1304136</v>
      </c>
      <c r="AG25" s="5">
        <v>5050411</v>
      </c>
      <c r="AH25" s="25">
        <v>52011</v>
      </c>
      <c r="AI25" t="s">
        <v>28</v>
      </c>
      <c r="AJ25" t="s">
        <v>161</v>
      </c>
      <c r="AK25">
        <v>1304136</v>
      </c>
      <c r="AL25">
        <v>5050411</v>
      </c>
      <c r="AN25" s="16" t="s">
        <v>355</v>
      </c>
      <c r="AO25" s="16">
        <v>125</v>
      </c>
      <c r="AP25" s="16"/>
      <c r="AQ25" s="16">
        <v>7976</v>
      </c>
      <c r="AR25" s="16"/>
      <c r="AS25" s="16"/>
      <c r="AT25" s="17">
        <v>796069</v>
      </c>
      <c r="AU25" s="16" t="s">
        <v>329</v>
      </c>
      <c r="AV25" s="16"/>
      <c r="AW25" s="16"/>
      <c r="AX25" s="16">
        <v>3</v>
      </c>
      <c r="AY25" s="16" t="s">
        <v>314</v>
      </c>
      <c r="AZ25" s="16" t="s">
        <v>315</v>
      </c>
      <c r="BA25" s="16" t="s">
        <v>316</v>
      </c>
      <c r="BB25" s="18"/>
      <c r="BC25">
        <v>30</v>
      </c>
      <c r="BD25">
        <v>400</v>
      </c>
      <c r="BE25">
        <v>10.6</v>
      </c>
    </row>
    <row r="26" spans="1:87" x14ac:dyDescent="0.25">
      <c r="A26">
        <v>10271</v>
      </c>
      <c r="B26" s="3" t="s">
        <v>163</v>
      </c>
      <c r="C26" t="s">
        <v>22</v>
      </c>
      <c r="D26" t="s">
        <v>23</v>
      </c>
      <c r="E26" t="s">
        <v>164</v>
      </c>
      <c r="F26">
        <v>0</v>
      </c>
      <c r="G26">
        <v>36</v>
      </c>
      <c r="H26" t="s">
        <v>138</v>
      </c>
      <c r="I26" t="s">
        <v>139</v>
      </c>
      <c r="J26" s="1">
        <v>1302512</v>
      </c>
      <c r="K26" s="1">
        <v>5047561</v>
      </c>
      <c r="L26" t="s">
        <v>165</v>
      </c>
      <c r="M26" s="2">
        <v>52288</v>
      </c>
      <c r="N26" t="s">
        <v>28</v>
      </c>
      <c r="O26" t="s">
        <v>166</v>
      </c>
      <c r="Q26">
        <v>20220315</v>
      </c>
      <c r="S26" t="s">
        <v>167</v>
      </c>
      <c r="T26">
        <v>1302512</v>
      </c>
      <c r="U26">
        <v>5047561</v>
      </c>
      <c r="V26">
        <v>2193</v>
      </c>
      <c r="X26" s="22" t="s">
        <v>163</v>
      </c>
      <c r="Y26" t="b">
        <f t="shared" si="3"/>
        <v>1</v>
      </c>
      <c r="AA26" s="22" t="s">
        <v>163</v>
      </c>
      <c r="AB26" t="s">
        <v>22</v>
      </c>
      <c r="AC26" t="s">
        <v>23</v>
      </c>
      <c r="AD26" t="s">
        <v>138</v>
      </c>
      <c r="AE26" t="s">
        <v>139</v>
      </c>
      <c r="AF26" s="5">
        <v>1302512</v>
      </c>
      <c r="AG26" s="5">
        <v>5047561</v>
      </c>
      <c r="AH26" s="25">
        <v>52288</v>
      </c>
      <c r="AI26" t="s">
        <v>28</v>
      </c>
      <c r="AJ26" t="s">
        <v>166</v>
      </c>
      <c r="AK26">
        <v>1302512</v>
      </c>
      <c r="AL26">
        <v>5047561</v>
      </c>
      <c r="AM26" s="15"/>
      <c r="AN26" s="16" t="s">
        <v>356</v>
      </c>
      <c r="AO26" s="16">
        <v>5</v>
      </c>
      <c r="AP26" s="16"/>
      <c r="AQ26" s="16">
        <v>78</v>
      </c>
      <c r="AR26" s="16"/>
      <c r="AS26" s="16">
        <v>2418</v>
      </c>
      <c r="AT26" s="17">
        <v>24000</v>
      </c>
      <c r="AU26" s="16" t="s">
        <v>329</v>
      </c>
      <c r="AV26" s="16"/>
      <c r="AW26" s="16"/>
      <c r="AX26" s="16">
        <v>1</v>
      </c>
      <c r="AY26" s="16" t="s">
        <v>314</v>
      </c>
      <c r="AZ26" s="16" t="s">
        <v>315</v>
      </c>
      <c r="BA26" s="16" t="s">
        <v>316</v>
      </c>
      <c r="BB26" s="18"/>
      <c r="BC26">
        <v>45</v>
      </c>
      <c r="BD26">
        <v>180</v>
      </c>
    </row>
    <row r="27" spans="1:87" x14ac:dyDescent="0.25">
      <c r="A27">
        <v>10412</v>
      </c>
      <c r="B27" s="3" t="s">
        <v>168</v>
      </c>
      <c r="C27" t="s">
        <v>22</v>
      </c>
      <c r="D27" t="s">
        <v>23</v>
      </c>
      <c r="E27" t="s">
        <v>164</v>
      </c>
      <c r="F27">
        <v>0</v>
      </c>
      <c r="G27" t="s">
        <v>169</v>
      </c>
      <c r="H27" t="s">
        <v>170</v>
      </c>
      <c r="I27" t="s">
        <v>171</v>
      </c>
      <c r="J27" s="1">
        <v>1304858</v>
      </c>
      <c r="K27" s="1">
        <v>5051941</v>
      </c>
      <c r="L27" t="s">
        <v>172</v>
      </c>
      <c r="M27" s="2">
        <v>54368</v>
      </c>
      <c r="N27" t="s">
        <v>28</v>
      </c>
      <c r="O27" t="s">
        <v>173</v>
      </c>
      <c r="Q27">
        <v>20220315</v>
      </c>
      <c r="S27" t="s">
        <v>174</v>
      </c>
      <c r="T27">
        <v>1304858</v>
      </c>
      <c r="U27">
        <v>5051941</v>
      </c>
      <c r="V27">
        <v>2193</v>
      </c>
      <c r="X27" s="22" t="s">
        <v>168</v>
      </c>
      <c r="Y27" t="b">
        <f t="shared" si="3"/>
        <v>1</v>
      </c>
      <c r="AA27" s="22" t="s">
        <v>168</v>
      </c>
      <c r="AB27" t="s">
        <v>22</v>
      </c>
      <c r="AC27" t="s">
        <v>23</v>
      </c>
      <c r="AD27" t="s">
        <v>170</v>
      </c>
      <c r="AE27" t="s">
        <v>351</v>
      </c>
      <c r="AF27" s="5">
        <v>1304858</v>
      </c>
      <c r="AG27" s="5">
        <v>5051941</v>
      </c>
      <c r="AH27" s="25">
        <v>54368</v>
      </c>
      <c r="AI27" t="s">
        <v>28</v>
      </c>
      <c r="AJ27" t="s">
        <v>173</v>
      </c>
      <c r="AK27">
        <v>1304858</v>
      </c>
      <c r="AL27">
        <v>5051941</v>
      </c>
      <c r="AM27" s="15"/>
      <c r="AN27" t="s">
        <v>357</v>
      </c>
      <c r="AO27" s="16">
        <v>50</v>
      </c>
      <c r="AP27" s="16"/>
      <c r="AQ27" s="16">
        <v>4320</v>
      </c>
      <c r="AR27" s="16"/>
      <c r="AS27" s="16">
        <v>116881</v>
      </c>
      <c r="AT27" s="17">
        <v>444103</v>
      </c>
      <c r="AU27" s="16" t="s">
        <v>329</v>
      </c>
      <c r="AV27" s="16"/>
      <c r="AW27" s="16"/>
      <c r="AX27" s="16">
        <v>1</v>
      </c>
      <c r="AY27" s="16" t="s">
        <v>314</v>
      </c>
      <c r="AZ27" s="16" t="s">
        <v>315</v>
      </c>
      <c r="BA27" s="16" t="s">
        <v>316</v>
      </c>
      <c r="BB27" s="18"/>
      <c r="BC27">
        <v>40.299999999999997</v>
      </c>
      <c r="BD27">
        <v>300</v>
      </c>
      <c r="BE27">
        <v>13.24</v>
      </c>
    </row>
    <row r="28" spans="1:87" x14ac:dyDescent="0.25">
      <c r="A28">
        <v>10576</v>
      </c>
      <c r="B28" s="3" t="s">
        <v>184</v>
      </c>
      <c r="C28" t="s">
        <v>22</v>
      </c>
      <c r="D28" t="s">
        <v>23</v>
      </c>
      <c r="E28" t="s">
        <v>164</v>
      </c>
      <c r="F28">
        <v>0</v>
      </c>
      <c r="G28" t="s">
        <v>185</v>
      </c>
      <c r="H28" t="s">
        <v>170</v>
      </c>
      <c r="I28" t="s">
        <v>171</v>
      </c>
      <c r="J28" s="1">
        <v>1305137</v>
      </c>
      <c r="K28" s="1">
        <v>5051946</v>
      </c>
      <c r="L28" t="s">
        <v>186</v>
      </c>
      <c r="M28" s="2">
        <v>54368</v>
      </c>
      <c r="N28" t="s">
        <v>28</v>
      </c>
      <c r="O28" t="s">
        <v>173</v>
      </c>
      <c r="Q28">
        <v>20220315</v>
      </c>
      <c r="S28" t="s">
        <v>187</v>
      </c>
      <c r="T28">
        <v>1305137</v>
      </c>
      <c r="U28">
        <v>5051946</v>
      </c>
      <c r="V28">
        <v>2193</v>
      </c>
      <c r="X28" s="22" t="s">
        <v>184</v>
      </c>
      <c r="Y28" t="b">
        <f t="shared" si="3"/>
        <v>1</v>
      </c>
      <c r="AA28" s="22" t="s">
        <v>184</v>
      </c>
      <c r="AB28" t="s">
        <v>22</v>
      </c>
      <c r="AC28" t="s">
        <v>23</v>
      </c>
      <c r="AD28" t="s">
        <v>170</v>
      </c>
      <c r="AE28" t="s">
        <v>351</v>
      </c>
      <c r="AF28" s="5">
        <v>1305137</v>
      </c>
      <c r="AG28" s="5">
        <v>5051946</v>
      </c>
      <c r="AH28" s="25">
        <v>54368</v>
      </c>
      <c r="AI28" t="s">
        <v>28</v>
      </c>
      <c r="AJ28" t="s">
        <v>173</v>
      </c>
      <c r="AK28">
        <v>1305137</v>
      </c>
      <c r="AL28">
        <v>5051946</v>
      </c>
      <c r="AM28" s="15"/>
      <c r="AN28" s="16" t="s">
        <v>360</v>
      </c>
      <c r="AO28" s="16">
        <v>70</v>
      </c>
      <c r="AP28" s="16"/>
      <c r="AQ28" s="16">
        <v>6048</v>
      </c>
      <c r="AR28" s="16"/>
      <c r="AS28" s="16">
        <v>168194</v>
      </c>
      <c r="AT28" s="17">
        <v>601172</v>
      </c>
      <c r="AU28" s="16" t="s">
        <v>329</v>
      </c>
      <c r="AV28" s="16"/>
      <c r="AW28" s="16"/>
      <c r="AX28" s="16">
        <v>1</v>
      </c>
      <c r="AY28" s="16" t="s">
        <v>314</v>
      </c>
      <c r="AZ28" s="16" t="s">
        <v>315</v>
      </c>
      <c r="BA28" s="16" t="s">
        <v>316</v>
      </c>
      <c r="BB28" s="18"/>
      <c r="BC28">
        <v>42</v>
      </c>
      <c r="BE28">
        <v>16.899999999999999</v>
      </c>
    </row>
    <row r="29" spans="1:87" x14ac:dyDescent="0.25">
      <c r="A29">
        <v>10471</v>
      </c>
      <c r="B29" s="3" t="s">
        <v>175</v>
      </c>
      <c r="C29" t="s">
        <v>22</v>
      </c>
      <c r="D29" t="s">
        <v>23</v>
      </c>
      <c r="E29" t="s">
        <v>164</v>
      </c>
      <c r="F29">
        <v>0</v>
      </c>
      <c r="G29" t="s">
        <v>176</v>
      </c>
      <c r="H29" t="s">
        <v>43</v>
      </c>
      <c r="I29" t="s">
        <v>44</v>
      </c>
      <c r="J29" s="1">
        <v>1300403</v>
      </c>
      <c r="K29" s="1">
        <v>5045100</v>
      </c>
      <c r="M29" s="2">
        <v>50645</v>
      </c>
      <c r="N29" t="s">
        <v>28</v>
      </c>
      <c r="O29" t="s">
        <v>177</v>
      </c>
      <c r="Q29">
        <v>20220315</v>
      </c>
      <c r="S29" t="s">
        <v>178</v>
      </c>
      <c r="T29">
        <v>1300403</v>
      </c>
      <c r="U29">
        <v>5045100</v>
      </c>
      <c r="V29">
        <v>2193</v>
      </c>
      <c r="X29" s="22" t="s">
        <v>175</v>
      </c>
      <c r="Y29" t="b">
        <f t="shared" si="3"/>
        <v>1</v>
      </c>
      <c r="AA29" s="22" t="s">
        <v>175</v>
      </c>
      <c r="AB29" t="s">
        <v>22</v>
      </c>
      <c r="AC29" t="s">
        <v>23</v>
      </c>
      <c r="AD29" t="s">
        <v>43</v>
      </c>
      <c r="AE29" t="s">
        <v>44</v>
      </c>
      <c r="AF29" s="5">
        <v>1300403</v>
      </c>
      <c r="AG29" s="5">
        <v>5045100</v>
      </c>
      <c r="AH29" s="25">
        <v>50645</v>
      </c>
      <c r="AI29" t="s">
        <v>28</v>
      </c>
      <c r="AJ29" t="s">
        <v>177</v>
      </c>
      <c r="AK29">
        <v>1300403</v>
      </c>
      <c r="AL29">
        <v>5045100</v>
      </c>
      <c r="AM29" s="15"/>
      <c r="AN29" s="16" t="s">
        <v>358</v>
      </c>
      <c r="AO29" s="16">
        <v>100</v>
      </c>
      <c r="AP29" s="16"/>
      <c r="AQ29" s="16">
        <v>8640</v>
      </c>
      <c r="AR29" s="16"/>
      <c r="AS29" s="16">
        <v>267840</v>
      </c>
      <c r="AT29" s="17">
        <v>1272600</v>
      </c>
      <c r="AU29" s="16" t="s">
        <v>329</v>
      </c>
      <c r="AV29" s="16"/>
      <c r="AW29" s="16"/>
      <c r="AX29" s="16">
        <v>1</v>
      </c>
      <c r="AY29" s="16" t="s">
        <v>314</v>
      </c>
      <c r="AZ29" s="16" t="s">
        <v>315</v>
      </c>
      <c r="BA29" s="16" t="s">
        <v>316</v>
      </c>
      <c r="BB29" s="18"/>
      <c r="BC29">
        <v>47.9</v>
      </c>
      <c r="BD29">
        <v>400</v>
      </c>
      <c r="BE29">
        <v>17.77</v>
      </c>
    </row>
    <row r="30" spans="1:87" x14ac:dyDescent="0.25">
      <c r="A30">
        <v>10531</v>
      </c>
      <c r="B30" s="3" t="s">
        <v>179</v>
      </c>
      <c r="C30" t="s">
        <v>22</v>
      </c>
      <c r="D30" t="s">
        <v>23</v>
      </c>
      <c r="E30" t="s">
        <v>164</v>
      </c>
      <c r="F30">
        <v>0</v>
      </c>
      <c r="G30" t="s">
        <v>180</v>
      </c>
      <c r="H30" t="s">
        <v>43</v>
      </c>
      <c r="I30" t="s">
        <v>44</v>
      </c>
      <c r="J30" s="1">
        <v>1302060</v>
      </c>
      <c r="K30" s="1">
        <v>5047093</v>
      </c>
      <c r="L30" t="s">
        <v>181</v>
      </c>
      <c r="M30" s="2">
        <v>50757</v>
      </c>
      <c r="N30" t="s">
        <v>28</v>
      </c>
      <c r="O30" t="s">
        <v>182</v>
      </c>
      <c r="Q30">
        <v>20220315</v>
      </c>
      <c r="S30" t="s">
        <v>183</v>
      </c>
      <c r="T30">
        <v>1302060</v>
      </c>
      <c r="U30">
        <v>5047093</v>
      </c>
      <c r="V30">
        <v>2193</v>
      </c>
      <c r="X30" s="22" t="s">
        <v>179</v>
      </c>
      <c r="Y30" t="b">
        <f t="shared" si="3"/>
        <v>1</v>
      </c>
      <c r="AA30" s="22" t="s">
        <v>179</v>
      </c>
      <c r="AB30" t="s">
        <v>22</v>
      </c>
      <c r="AC30" t="s">
        <v>23</v>
      </c>
      <c r="AD30" t="s">
        <v>43</v>
      </c>
      <c r="AE30" t="s">
        <v>44</v>
      </c>
      <c r="AF30" s="5">
        <v>1302060</v>
      </c>
      <c r="AG30" s="5">
        <v>5047093</v>
      </c>
      <c r="AH30" s="25">
        <v>50757</v>
      </c>
      <c r="AI30" t="s">
        <v>28</v>
      </c>
      <c r="AJ30" t="s">
        <v>182</v>
      </c>
      <c r="AK30">
        <v>1302060</v>
      </c>
      <c r="AL30">
        <v>5047093</v>
      </c>
      <c r="AM30" s="15"/>
      <c r="AN30" s="16" t="s">
        <v>359</v>
      </c>
      <c r="AO30" s="16">
        <v>100</v>
      </c>
      <c r="AP30" s="16"/>
      <c r="AQ30" s="16"/>
      <c r="AR30" s="16"/>
      <c r="AS30" s="16">
        <v>267840</v>
      </c>
      <c r="AT30" s="17">
        <v>1272600</v>
      </c>
      <c r="AU30" s="16" t="s">
        <v>329</v>
      </c>
      <c r="AV30" s="16"/>
      <c r="AW30" s="16"/>
      <c r="AX30" s="16">
        <v>1</v>
      </c>
      <c r="AY30" s="16" t="s">
        <v>314</v>
      </c>
      <c r="AZ30" s="16" t="s">
        <v>315</v>
      </c>
      <c r="BA30" s="16" t="s">
        <v>316</v>
      </c>
      <c r="BB30" s="18"/>
      <c r="BC30">
        <v>45.08</v>
      </c>
      <c r="BD30">
        <v>400</v>
      </c>
      <c r="BE30">
        <v>12.29</v>
      </c>
    </row>
    <row r="31" spans="1:87" x14ac:dyDescent="0.25">
      <c r="A31">
        <v>10780</v>
      </c>
      <c r="B31" s="3" t="s">
        <v>188</v>
      </c>
      <c r="C31" t="s">
        <v>22</v>
      </c>
      <c r="D31" t="s">
        <v>23</v>
      </c>
      <c r="E31" t="s">
        <v>189</v>
      </c>
      <c r="F31">
        <v>0</v>
      </c>
      <c r="G31" t="s">
        <v>190</v>
      </c>
      <c r="H31" t="s">
        <v>43</v>
      </c>
      <c r="I31" t="s">
        <v>44</v>
      </c>
      <c r="J31" s="1">
        <v>1302380</v>
      </c>
      <c r="K31" s="1">
        <v>5048050</v>
      </c>
      <c r="M31" s="2">
        <v>50861</v>
      </c>
      <c r="N31" t="s">
        <v>28</v>
      </c>
      <c r="O31" t="s">
        <v>191</v>
      </c>
      <c r="Q31">
        <v>20220315</v>
      </c>
      <c r="S31" t="s">
        <v>192</v>
      </c>
      <c r="T31">
        <v>1302380</v>
      </c>
      <c r="U31">
        <v>5048050</v>
      </c>
      <c r="V31">
        <v>2193</v>
      </c>
      <c r="X31" s="22" t="s">
        <v>188</v>
      </c>
      <c r="Y31" t="b">
        <f t="shared" si="3"/>
        <v>1</v>
      </c>
      <c r="AA31" s="22" t="s">
        <v>188</v>
      </c>
      <c r="AB31" t="s">
        <v>22</v>
      </c>
      <c r="AC31" t="s">
        <v>23</v>
      </c>
      <c r="AD31" t="s">
        <v>43</v>
      </c>
      <c r="AE31" t="s">
        <v>44</v>
      </c>
      <c r="AF31" s="5">
        <v>1302380</v>
      </c>
      <c r="AG31" s="5">
        <v>5048050</v>
      </c>
      <c r="AH31" s="25">
        <v>50861</v>
      </c>
      <c r="AI31" t="s">
        <v>28</v>
      </c>
      <c r="AJ31" t="s">
        <v>191</v>
      </c>
      <c r="AK31">
        <v>1302380</v>
      </c>
      <c r="AL31">
        <v>5048050</v>
      </c>
      <c r="AM31" s="15"/>
      <c r="AN31" s="16" t="s">
        <v>361</v>
      </c>
      <c r="AO31" s="16">
        <v>358</v>
      </c>
      <c r="AP31" s="16"/>
      <c r="AQ31" s="16">
        <v>39600</v>
      </c>
      <c r="AR31" s="16"/>
      <c r="AS31" s="16">
        <v>823437</v>
      </c>
      <c r="AT31" s="17">
        <v>3373875</v>
      </c>
      <c r="AU31" s="16" t="s">
        <v>329</v>
      </c>
      <c r="AV31" s="16"/>
      <c r="AW31" s="16"/>
      <c r="AX31" s="16">
        <v>4</v>
      </c>
      <c r="AY31" s="16" t="s">
        <v>314</v>
      </c>
      <c r="AZ31" s="16" t="s">
        <v>315</v>
      </c>
      <c r="BA31" s="16" t="s">
        <v>316</v>
      </c>
      <c r="BB31" s="18"/>
      <c r="BC31" t="s">
        <v>362</v>
      </c>
      <c r="BD31" t="s">
        <v>362</v>
      </c>
      <c r="BE31" t="s">
        <v>362</v>
      </c>
    </row>
    <row r="32" spans="1:87" x14ac:dyDescent="0.25">
      <c r="A32">
        <v>10990</v>
      </c>
      <c r="B32" s="3" t="s">
        <v>193</v>
      </c>
      <c r="C32" t="s">
        <v>22</v>
      </c>
      <c r="D32" t="s">
        <v>23</v>
      </c>
      <c r="E32" t="s">
        <v>189</v>
      </c>
      <c r="F32">
        <v>0</v>
      </c>
      <c r="G32" t="s">
        <v>194</v>
      </c>
      <c r="H32" t="s">
        <v>195</v>
      </c>
      <c r="I32" t="s">
        <v>196</v>
      </c>
      <c r="J32" s="1">
        <v>1303346</v>
      </c>
      <c r="K32" s="1">
        <v>5053599</v>
      </c>
      <c r="L32" t="s">
        <v>197</v>
      </c>
      <c r="M32" s="2">
        <v>54807</v>
      </c>
      <c r="N32" t="s">
        <v>28</v>
      </c>
      <c r="O32" t="s">
        <v>198</v>
      </c>
      <c r="Q32">
        <v>20220315</v>
      </c>
      <c r="S32" t="s">
        <v>199</v>
      </c>
      <c r="T32">
        <v>1303346</v>
      </c>
      <c r="U32">
        <v>5053599</v>
      </c>
      <c r="V32">
        <v>2193</v>
      </c>
      <c r="X32" s="22"/>
      <c r="AN32" t="s">
        <v>388</v>
      </c>
      <c r="AO32">
        <v>180</v>
      </c>
      <c r="AT32" s="26">
        <f>((AO32*86.4)/2)*90</f>
        <v>699840.00000000012</v>
      </c>
      <c r="BC32">
        <v>46.97</v>
      </c>
      <c r="BD32">
        <v>150</v>
      </c>
      <c r="BE32">
        <v>17.77</v>
      </c>
      <c r="BG32" s="22" t="s">
        <v>200</v>
      </c>
      <c r="BH32" t="s">
        <v>22</v>
      </c>
      <c r="BI32" t="s">
        <v>23</v>
      </c>
      <c r="BJ32" t="s">
        <v>202</v>
      </c>
      <c r="BK32" t="s">
        <v>203</v>
      </c>
      <c r="BL32" s="5">
        <v>1298816</v>
      </c>
      <c r="BM32" s="5">
        <v>5050048</v>
      </c>
      <c r="BN32" s="25">
        <v>55001</v>
      </c>
      <c r="BO32" t="s">
        <v>28</v>
      </c>
      <c r="BP32" t="s">
        <v>205</v>
      </c>
      <c r="BQ32">
        <v>1298816</v>
      </c>
      <c r="BR32">
        <v>5050048</v>
      </c>
      <c r="BS32" s="15"/>
      <c r="BT32" s="16" t="s">
        <v>363</v>
      </c>
      <c r="BU32" s="16">
        <v>10.9</v>
      </c>
      <c r="BV32" s="16"/>
      <c r="BW32" s="16"/>
      <c r="BX32" s="16"/>
      <c r="BY32" s="16">
        <v>40180</v>
      </c>
      <c r="BZ32" s="17">
        <v>170765</v>
      </c>
      <c r="CA32" s="16" t="s">
        <v>364</v>
      </c>
      <c r="CB32" s="16"/>
      <c r="CC32" s="16"/>
      <c r="CD32" s="16">
        <v>2</v>
      </c>
      <c r="CE32" s="16" t="s">
        <v>314</v>
      </c>
      <c r="CF32" s="16" t="s">
        <v>315</v>
      </c>
      <c r="CG32" s="16" t="s">
        <v>316</v>
      </c>
      <c r="CH32" s="18"/>
      <c r="CI32">
        <v>20</v>
      </c>
    </row>
    <row r="33" spans="1:86" x14ac:dyDescent="0.25">
      <c r="A33">
        <v>10991</v>
      </c>
      <c r="B33" s="3" t="s">
        <v>200</v>
      </c>
      <c r="C33" t="s">
        <v>22</v>
      </c>
      <c r="D33" t="s">
        <v>23</v>
      </c>
      <c r="E33" t="s">
        <v>189</v>
      </c>
      <c r="F33">
        <v>0</v>
      </c>
      <c r="G33" t="s">
        <v>201</v>
      </c>
      <c r="H33" t="s">
        <v>202</v>
      </c>
      <c r="I33" t="s">
        <v>203</v>
      </c>
      <c r="J33" s="1">
        <v>1298816</v>
      </c>
      <c r="K33" s="1">
        <v>5050048</v>
      </c>
      <c r="L33" t="s">
        <v>204</v>
      </c>
      <c r="M33" s="2">
        <v>55001</v>
      </c>
      <c r="N33" t="s">
        <v>28</v>
      </c>
      <c r="O33" t="s">
        <v>205</v>
      </c>
      <c r="Q33">
        <v>20220315</v>
      </c>
      <c r="S33" t="s">
        <v>206</v>
      </c>
      <c r="T33">
        <v>1298816</v>
      </c>
      <c r="U33">
        <v>5050048</v>
      </c>
      <c r="V33">
        <v>2193</v>
      </c>
      <c r="X33" s="22" t="s">
        <v>200</v>
      </c>
      <c r="Y33" t="b">
        <f>B33=X33</f>
        <v>1</v>
      </c>
      <c r="AA33" s="22" t="s">
        <v>366</v>
      </c>
      <c r="AB33" t="s">
        <v>22</v>
      </c>
      <c r="AC33" t="s">
        <v>23</v>
      </c>
      <c r="AD33" t="s">
        <v>367</v>
      </c>
      <c r="AE33" t="s">
        <v>368</v>
      </c>
      <c r="AF33" s="5">
        <v>1308623</v>
      </c>
      <c r="AG33" s="5">
        <v>5038851</v>
      </c>
      <c r="AH33" s="25">
        <v>52604</v>
      </c>
      <c r="AI33" t="s">
        <v>28</v>
      </c>
      <c r="AJ33" t="s">
        <v>369</v>
      </c>
      <c r="AK33">
        <v>1308623</v>
      </c>
      <c r="AL33">
        <v>5038851</v>
      </c>
      <c r="AM33" s="15"/>
      <c r="AN33" s="24" t="s">
        <v>372</v>
      </c>
      <c r="AO33" s="16">
        <v>132</v>
      </c>
      <c r="AP33" s="16"/>
      <c r="AQ33" s="16"/>
      <c r="AR33" s="16"/>
      <c r="AS33" s="16">
        <v>318050</v>
      </c>
      <c r="AT33" s="17">
        <v>1288450</v>
      </c>
      <c r="AU33" s="16" t="s">
        <v>373</v>
      </c>
      <c r="AV33" s="16"/>
      <c r="AW33" s="16"/>
      <c r="AX33" s="16">
        <v>1</v>
      </c>
      <c r="AY33" s="16" t="s">
        <v>314</v>
      </c>
      <c r="AZ33" s="16" t="s">
        <v>315</v>
      </c>
      <c r="BA33" s="16" t="s">
        <v>316</v>
      </c>
      <c r="BB33" s="18"/>
      <c r="BC33">
        <v>23</v>
      </c>
      <c r="BD33">
        <v>400</v>
      </c>
      <c r="BE33">
        <v>5</v>
      </c>
    </row>
    <row r="34" spans="1:86" x14ac:dyDescent="0.25">
      <c r="A34">
        <v>11060</v>
      </c>
      <c r="B34" s="3" t="s">
        <v>207</v>
      </c>
      <c r="C34" t="s">
        <v>22</v>
      </c>
      <c r="D34" t="s">
        <v>23</v>
      </c>
      <c r="E34" t="s">
        <v>189</v>
      </c>
      <c r="F34">
        <v>0</v>
      </c>
      <c r="G34" t="s">
        <v>208</v>
      </c>
      <c r="H34" t="s">
        <v>43</v>
      </c>
      <c r="I34" t="s">
        <v>44</v>
      </c>
      <c r="J34" s="1">
        <v>1303935</v>
      </c>
      <c r="K34" s="1">
        <v>5043021</v>
      </c>
      <c r="L34" t="s">
        <v>209</v>
      </c>
      <c r="M34" s="2">
        <v>51349</v>
      </c>
      <c r="N34" t="s">
        <v>28</v>
      </c>
      <c r="O34" t="s">
        <v>210</v>
      </c>
      <c r="Q34">
        <v>20220315</v>
      </c>
      <c r="S34" t="s">
        <v>211</v>
      </c>
      <c r="T34">
        <v>1303935</v>
      </c>
      <c r="U34">
        <v>5043021</v>
      </c>
      <c r="V34">
        <v>2193</v>
      </c>
      <c r="X34" s="22" t="s">
        <v>207</v>
      </c>
      <c r="Y34" t="b">
        <f>B34=X34</f>
        <v>1</v>
      </c>
      <c r="Z34" s="4"/>
      <c r="AA34" s="22" t="s">
        <v>207</v>
      </c>
      <c r="AB34" t="s">
        <v>22</v>
      </c>
      <c r="AC34" t="s">
        <v>23</v>
      </c>
      <c r="AD34" t="s">
        <v>43</v>
      </c>
      <c r="AE34" t="s">
        <v>44</v>
      </c>
      <c r="AF34" s="5">
        <v>1303935</v>
      </c>
      <c r="AG34" s="5">
        <v>5043021</v>
      </c>
      <c r="AH34" s="25">
        <v>51349</v>
      </c>
      <c r="AI34" t="s">
        <v>28</v>
      </c>
      <c r="AJ34" t="s">
        <v>210</v>
      </c>
      <c r="AK34">
        <v>1303935</v>
      </c>
      <c r="AL34">
        <v>5043021</v>
      </c>
      <c r="AM34" s="15" t="s">
        <v>207</v>
      </c>
      <c r="AN34" s="16" t="s">
        <v>320</v>
      </c>
      <c r="AO34" s="16">
        <v>120</v>
      </c>
      <c r="AP34" s="16"/>
      <c r="AQ34" s="16">
        <v>10368</v>
      </c>
      <c r="AR34" s="16"/>
      <c r="AS34" s="16">
        <v>321408</v>
      </c>
      <c r="AT34" s="17">
        <v>1212750</v>
      </c>
      <c r="AU34" s="16" t="s">
        <v>321</v>
      </c>
      <c r="AV34" s="16" t="s">
        <v>23</v>
      </c>
      <c r="AW34" s="16" t="s">
        <v>207</v>
      </c>
      <c r="AX34" s="16">
        <v>2</v>
      </c>
      <c r="AY34" s="16" t="s">
        <v>314</v>
      </c>
      <c r="AZ34" s="16" t="s">
        <v>315</v>
      </c>
      <c r="BA34" s="16" t="s">
        <v>316</v>
      </c>
      <c r="BB34" s="18" t="s">
        <v>317</v>
      </c>
    </row>
    <row r="35" spans="1:86" x14ac:dyDescent="0.25">
      <c r="A35">
        <v>11105</v>
      </c>
      <c r="B35" s="3" t="s">
        <v>212</v>
      </c>
      <c r="C35" t="s">
        <v>22</v>
      </c>
      <c r="D35" t="s">
        <v>23</v>
      </c>
      <c r="E35" t="s">
        <v>213</v>
      </c>
      <c r="F35">
        <v>0</v>
      </c>
      <c r="G35" t="s">
        <v>214</v>
      </c>
      <c r="H35" t="s">
        <v>215</v>
      </c>
      <c r="I35" t="s">
        <v>216</v>
      </c>
      <c r="J35" s="1">
        <v>1304630</v>
      </c>
      <c r="K35" s="1">
        <v>5048790</v>
      </c>
      <c r="L35" t="s">
        <v>217</v>
      </c>
      <c r="M35" s="2">
        <v>51288</v>
      </c>
      <c r="N35" t="s">
        <v>28</v>
      </c>
      <c r="O35" t="s">
        <v>129</v>
      </c>
      <c r="Q35">
        <v>20220315</v>
      </c>
      <c r="S35" t="s">
        <v>218</v>
      </c>
      <c r="T35">
        <v>1304630</v>
      </c>
      <c r="U35">
        <v>5048790</v>
      </c>
      <c r="V35">
        <v>2193</v>
      </c>
      <c r="X35" s="22" t="s">
        <v>212</v>
      </c>
      <c r="Y35" t="b">
        <f>B35=X35</f>
        <v>1</v>
      </c>
      <c r="AA35" s="22" t="s">
        <v>212</v>
      </c>
      <c r="AB35" t="s">
        <v>22</v>
      </c>
      <c r="AC35" t="s">
        <v>23</v>
      </c>
      <c r="AD35" t="s">
        <v>374</v>
      </c>
      <c r="AE35" t="s">
        <v>375</v>
      </c>
      <c r="AF35" s="5">
        <v>1304630</v>
      </c>
      <c r="AG35" s="5">
        <v>5048790</v>
      </c>
      <c r="AH35" s="25">
        <v>51288</v>
      </c>
      <c r="AI35" t="s">
        <v>28</v>
      </c>
      <c r="AJ35" t="s">
        <v>129</v>
      </c>
      <c r="AK35">
        <v>1304630</v>
      </c>
      <c r="AL35">
        <v>5048790</v>
      </c>
      <c r="AN35" t="s">
        <v>371</v>
      </c>
      <c r="AO35">
        <v>70</v>
      </c>
      <c r="AQ35">
        <v>6480</v>
      </c>
      <c r="AS35">
        <v>170000</v>
      </c>
      <c r="AT35" s="19">
        <v>720000</v>
      </c>
      <c r="AU35" t="s">
        <v>329</v>
      </c>
      <c r="AX35">
        <v>1</v>
      </c>
      <c r="AY35" s="16" t="s">
        <v>314</v>
      </c>
      <c r="AZ35" s="16" t="s">
        <v>315</v>
      </c>
      <c r="BA35" s="16" t="s">
        <v>316</v>
      </c>
      <c r="BG35" s="22"/>
      <c r="BL35" s="5"/>
      <c r="BM35" s="5"/>
      <c r="BN35" s="25"/>
      <c r="BS35" s="15"/>
      <c r="BT35" s="20"/>
      <c r="BU35" s="16"/>
      <c r="BV35" s="16"/>
      <c r="BW35" s="16"/>
      <c r="BY35" s="16"/>
      <c r="BZ35" s="17"/>
      <c r="CA35" s="16"/>
      <c r="CB35" s="16"/>
      <c r="CC35" s="16"/>
      <c r="CD35" s="16"/>
      <c r="CE35" s="16"/>
      <c r="CF35" s="16"/>
      <c r="CG35" s="16"/>
      <c r="CH35" s="18"/>
    </row>
    <row r="36" spans="1:86" x14ac:dyDescent="0.25">
      <c r="A36">
        <v>11666</v>
      </c>
      <c r="B36" s="3" t="s">
        <v>219</v>
      </c>
      <c r="C36" t="s">
        <v>22</v>
      </c>
      <c r="D36" t="s">
        <v>23</v>
      </c>
      <c r="E36" t="s">
        <v>220</v>
      </c>
      <c r="F36">
        <v>0</v>
      </c>
      <c r="G36" t="s">
        <v>221</v>
      </c>
      <c r="H36" t="s">
        <v>222</v>
      </c>
      <c r="I36" t="s">
        <v>223</v>
      </c>
      <c r="J36" s="1">
        <v>1302347</v>
      </c>
      <c r="K36" s="1">
        <v>5047316</v>
      </c>
      <c r="L36" t="s">
        <v>224</v>
      </c>
      <c r="M36" s="2">
        <v>51702</v>
      </c>
      <c r="N36" t="s">
        <v>28</v>
      </c>
      <c r="O36" t="s">
        <v>225</v>
      </c>
      <c r="Q36">
        <v>20220315</v>
      </c>
      <c r="S36" t="s">
        <v>226</v>
      </c>
      <c r="T36">
        <v>1302347</v>
      </c>
      <c r="U36">
        <v>5047316</v>
      </c>
      <c r="V36">
        <v>2193</v>
      </c>
      <c r="X36" s="22"/>
      <c r="Z36" s="4"/>
      <c r="AO36">
        <v>200</v>
      </c>
      <c r="AT36" s="26">
        <f>((AO36*86.4)/2)*90</f>
        <v>777600</v>
      </c>
      <c r="AU36" t="s">
        <v>387</v>
      </c>
    </row>
    <row r="37" spans="1:86" x14ac:dyDescent="0.25">
      <c r="A37">
        <v>11714</v>
      </c>
      <c r="B37" s="3" t="s">
        <v>227</v>
      </c>
      <c r="C37" t="s">
        <v>22</v>
      </c>
      <c r="D37" t="s">
        <v>23</v>
      </c>
      <c r="E37" t="s">
        <v>220</v>
      </c>
      <c r="F37">
        <v>0</v>
      </c>
      <c r="G37" t="s">
        <v>228</v>
      </c>
      <c r="H37" t="s">
        <v>229</v>
      </c>
      <c r="I37" t="s">
        <v>230</v>
      </c>
      <c r="J37" s="1">
        <v>1297152</v>
      </c>
      <c r="K37" s="1">
        <v>5051701</v>
      </c>
      <c r="L37" t="s">
        <v>231</v>
      </c>
      <c r="M37" s="2">
        <v>49905</v>
      </c>
      <c r="N37" t="s">
        <v>28</v>
      </c>
      <c r="O37" t="s">
        <v>232</v>
      </c>
      <c r="Q37">
        <v>20220315</v>
      </c>
      <c r="S37" t="s">
        <v>233</v>
      </c>
      <c r="T37">
        <v>1297152</v>
      </c>
      <c r="U37">
        <v>5051701</v>
      </c>
      <c r="V37">
        <v>2193</v>
      </c>
      <c r="X37" s="22"/>
      <c r="AN37" t="s">
        <v>389</v>
      </c>
      <c r="AO37">
        <v>22</v>
      </c>
      <c r="AQ37">
        <v>1900</v>
      </c>
      <c r="AS37">
        <v>57000</v>
      </c>
      <c r="AT37" s="19">
        <v>289474</v>
      </c>
      <c r="AU37" t="s">
        <v>364</v>
      </c>
      <c r="BC37">
        <v>67.680000000000007</v>
      </c>
      <c r="BD37">
        <v>250</v>
      </c>
      <c r="BE37">
        <v>15.3</v>
      </c>
    </row>
    <row r="38" spans="1:86" x14ac:dyDescent="0.25">
      <c r="A38">
        <v>11727</v>
      </c>
      <c r="B38" s="3" t="s">
        <v>234</v>
      </c>
      <c r="C38" t="s">
        <v>22</v>
      </c>
      <c r="D38" t="s">
        <v>23</v>
      </c>
      <c r="E38" t="s">
        <v>220</v>
      </c>
      <c r="F38">
        <v>0</v>
      </c>
      <c r="G38" t="s">
        <v>235</v>
      </c>
      <c r="H38" t="s">
        <v>236</v>
      </c>
      <c r="I38" t="s">
        <v>237</v>
      </c>
      <c r="J38" s="1">
        <v>1306547</v>
      </c>
      <c r="K38" s="1">
        <v>5040018</v>
      </c>
      <c r="L38" t="s">
        <v>238</v>
      </c>
      <c r="M38" s="2">
        <v>53565</v>
      </c>
      <c r="N38" t="s">
        <v>28</v>
      </c>
      <c r="O38" t="s">
        <v>239</v>
      </c>
      <c r="Q38">
        <v>20220315</v>
      </c>
      <c r="S38" t="s">
        <v>240</v>
      </c>
      <c r="T38">
        <v>1306547</v>
      </c>
      <c r="U38">
        <v>5040018</v>
      </c>
      <c r="V38">
        <v>2193</v>
      </c>
      <c r="X38" s="22" t="s">
        <v>323</v>
      </c>
      <c r="Y38" t="b">
        <f>B38=X38</f>
        <v>0</v>
      </c>
      <c r="AA38" s="22" t="s">
        <v>323</v>
      </c>
      <c r="AB38" t="s">
        <v>22</v>
      </c>
      <c r="AC38" t="s">
        <v>23</v>
      </c>
      <c r="AD38" t="s">
        <v>236</v>
      </c>
      <c r="AE38" t="s">
        <v>324</v>
      </c>
      <c r="AF38" s="5">
        <v>1306547</v>
      </c>
      <c r="AG38" s="5">
        <v>5040018</v>
      </c>
      <c r="AH38" s="25">
        <v>53565</v>
      </c>
      <c r="AI38" t="s">
        <v>28</v>
      </c>
      <c r="AJ38" t="s">
        <v>239</v>
      </c>
      <c r="AK38">
        <v>1306547</v>
      </c>
      <c r="AL38">
        <v>5040018</v>
      </c>
      <c r="AM38" t="s">
        <v>323</v>
      </c>
      <c r="AN38" t="s">
        <v>325</v>
      </c>
      <c r="AO38">
        <v>2.7</v>
      </c>
      <c r="AP38">
        <v>9.6999999999999993</v>
      </c>
      <c r="AQ38">
        <v>233</v>
      </c>
      <c r="AR38">
        <v>1631</v>
      </c>
      <c r="AS38">
        <v>7223</v>
      </c>
      <c r="AT38" s="19">
        <v>33082</v>
      </c>
      <c r="AU38" t="s">
        <v>321</v>
      </c>
      <c r="AV38" t="s">
        <v>23</v>
      </c>
      <c r="AW38" t="s">
        <v>323</v>
      </c>
      <c r="AX38">
        <v>1</v>
      </c>
      <c r="AY38" s="16" t="s">
        <v>314</v>
      </c>
      <c r="AZ38" s="16" t="s">
        <v>315</v>
      </c>
      <c r="BA38" s="16" t="s">
        <v>316</v>
      </c>
      <c r="BB38" t="s">
        <v>313</v>
      </c>
    </row>
    <row r="39" spans="1:86" x14ac:dyDescent="0.25">
      <c r="A39">
        <v>11984</v>
      </c>
      <c r="B39" s="3" t="s">
        <v>241</v>
      </c>
      <c r="C39" t="s">
        <v>22</v>
      </c>
      <c r="D39" t="s">
        <v>23</v>
      </c>
      <c r="E39" t="s">
        <v>242</v>
      </c>
      <c r="F39">
        <v>0</v>
      </c>
      <c r="G39" t="s">
        <v>243</v>
      </c>
      <c r="H39" t="s">
        <v>244</v>
      </c>
      <c r="I39" t="s">
        <v>245</v>
      </c>
      <c r="J39" s="1">
        <v>1297890</v>
      </c>
      <c r="K39" s="1">
        <v>5050965</v>
      </c>
      <c r="L39" t="s">
        <v>246</v>
      </c>
      <c r="M39" s="2">
        <v>48309</v>
      </c>
      <c r="N39" t="s">
        <v>28</v>
      </c>
      <c r="O39" t="s">
        <v>173</v>
      </c>
      <c r="Q39">
        <v>20220315</v>
      </c>
      <c r="S39" t="s">
        <v>247</v>
      </c>
      <c r="T39">
        <v>1297890</v>
      </c>
      <c r="U39">
        <v>5050965</v>
      </c>
      <c r="V39">
        <v>2193</v>
      </c>
      <c r="X39" s="22"/>
      <c r="AN39" t="s">
        <v>390</v>
      </c>
      <c r="AO39">
        <v>35</v>
      </c>
      <c r="AT39" s="26">
        <f>((AO39*86.4)/2)*90</f>
        <v>136080</v>
      </c>
      <c r="BC39">
        <v>34</v>
      </c>
      <c r="BD39">
        <v>450</v>
      </c>
      <c r="BE39" t="s">
        <v>391</v>
      </c>
    </row>
    <row r="40" spans="1:86" x14ac:dyDescent="0.25">
      <c r="A40">
        <v>12476</v>
      </c>
      <c r="B40" s="3" t="s">
        <v>248</v>
      </c>
      <c r="C40" t="s">
        <v>22</v>
      </c>
      <c r="D40" t="s">
        <v>23</v>
      </c>
      <c r="E40" t="s">
        <v>249</v>
      </c>
      <c r="F40">
        <v>0</v>
      </c>
      <c r="G40" t="s">
        <v>250</v>
      </c>
      <c r="H40" t="s">
        <v>251</v>
      </c>
      <c r="I40" t="s">
        <v>252</v>
      </c>
      <c r="J40" s="1">
        <v>1300677</v>
      </c>
      <c r="K40" s="1">
        <v>5047066</v>
      </c>
      <c r="L40" t="s">
        <v>253</v>
      </c>
      <c r="M40" s="2">
        <v>56020</v>
      </c>
      <c r="N40" t="s">
        <v>28</v>
      </c>
      <c r="O40" t="s">
        <v>254</v>
      </c>
      <c r="Q40">
        <v>20220315</v>
      </c>
      <c r="S40" t="s">
        <v>255</v>
      </c>
      <c r="T40">
        <v>1300677</v>
      </c>
      <c r="U40">
        <v>5047066</v>
      </c>
      <c r="V40">
        <v>2193</v>
      </c>
      <c r="X40" s="22" t="s">
        <v>248</v>
      </c>
      <c r="Y40" t="b">
        <f>B40=X40</f>
        <v>1</v>
      </c>
      <c r="AA40" s="22" t="s">
        <v>248</v>
      </c>
      <c r="AB40" t="s">
        <v>22</v>
      </c>
      <c r="AC40" t="s">
        <v>23</v>
      </c>
      <c r="AD40" t="s">
        <v>251</v>
      </c>
      <c r="AE40" t="s">
        <v>252</v>
      </c>
      <c r="AF40" s="5">
        <v>1300677</v>
      </c>
      <c r="AG40" s="5">
        <v>5047066</v>
      </c>
      <c r="AH40" s="25">
        <v>56020</v>
      </c>
      <c r="AI40" t="s">
        <v>28</v>
      </c>
      <c r="AJ40" t="s">
        <v>254</v>
      </c>
      <c r="AK40">
        <v>1300677</v>
      </c>
      <c r="AL40">
        <v>5047066</v>
      </c>
      <c r="AN40" t="s">
        <v>376</v>
      </c>
      <c r="AO40">
        <v>4</v>
      </c>
      <c r="AQ40">
        <v>250</v>
      </c>
      <c r="AR40">
        <v>1750</v>
      </c>
      <c r="AS40">
        <v>7756</v>
      </c>
      <c r="AT40" s="19">
        <v>33887</v>
      </c>
      <c r="AU40" t="s">
        <v>377</v>
      </c>
      <c r="AX40">
        <v>1</v>
      </c>
      <c r="AY40" s="16" t="s">
        <v>314</v>
      </c>
      <c r="AZ40" s="16" t="s">
        <v>315</v>
      </c>
      <c r="BA40" s="16" t="s">
        <v>316</v>
      </c>
      <c r="BC40">
        <v>30.8</v>
      </c>
      <c r="BD40">
        <v>125</v>
      </c>
      <c r="BE40">
        <v>14.36</v>
      </c>
    </row>
    <row r="41" spans="1:86" x14ac:dyDescent="0.25">
      <c r="A41">
        <v>12694</v>
      </c>
      <c r="B41" s="3" t="s">
        <v>256</v>
      </c>
      <c r="C41" t="s">
        <v>22</v>
      </c>
      <c r="D41" t="s">
        <v>23</v>
      </c>
      <c r="E41" t="s">
        <v>249</v>
      </c>
      <c r="F41">
        <v>0</v>
      </c>
      <c r="G41" t="s">
        <v>257</v>
      </c>
      <c r="H41" t="s">
        <v>258</v>
      </c>
      <c r="I41" t="s">
        <v>259</v>
      </c>
      <c r="J41" s="1">
        <v>1305940</v>
      </c>
      <c r="K41" s="1">
        <v>5053431</v>
      </c>
      <c r="L41" t="s">
        <v>260</v>
      </c>
      <c r="M41" s="2">
        <v>56257</v>
      </c>
      <c r="N41" t="s">
        <v>28</v>
      </c>
      <c r="O41" t="s">
        <v>173</v>
      </c>
      <c r="Q41">
        <v>20220315</v>
      </c>
      <c r="S41" t="s">
        <v>261</v>
      </c>
      <c r="T41">
        <v>1305940</v>
      </c>
      <c r="U41">
        <v>5053431</v>
      </c>
      <c r="V41">
        <v>2193</v>
      </c>
      <c r="X41" s="22"/>
      <c r="AN41" t="s">
        <v>392</v>
      </c>
      <c r="AO41">
        <v>55</v>
      </c>
      <c r="AQ41">
        <v>4752</v>
      </c>
      <c r="AS41">
        <v>147312</v>
      </c>
      <c r="AT41" s="19">
        <v>708400</v>
      </c>
      <c r="AU41" t="s">
        <v>394</v>
      </c>
      <c r="BC41">
        <v>53.58</v>
      </c>
      <c r="BD41">
        <v>300</v>
      </c>
      <c r="BE41">
        <v>26.78</v>
      </c>
    </row>
    <row r="42" spans="1:86" x14ac:dyDescent="0.25">
      <c r="A42">
        <v>13184</v>
      </c>
      <c r="B42" s="3" t="s">
        <v>262</v>
      </c>
      <c r="C42" t="s">
        <v>22</v>
      </c>
      <c r="D42" t="s">
        <v>23</v>
      </c>
      <c r="E42" t="s">
        <v>263</v>
      </c>
      <c r="F42">
        <v>0</v>
      </c>
      <c r="G42" t="s">
        <v>264</v>
      </c>
      <c r="H42" t="s">
        <v>265</v>
      </c>
      <c r="I42" t="s">
        <v>266</v>
      </c>
      <c r="J42" s="1">
        <v>1303647</v>
      </c>
      <c r="K42" s="1">
        <v>5048937</v>
      </c>
      <c r="L42" t="s">
        <v>267</v>
      </c>
      <c r="M42" s="2">
        <v>47868</v>
      </c>
      <c r="N42" t="s">
        <v>28</v>
      </c>
      <c r="O42" t="s">
        <v>268</v>
      </c>
      <c r="Q42">
        <v>20220315</v>
      </c>
      <c r="S42" t="s">
        <v>269</v>
      </c>
      <c r="T42">
        <v>1303647</v>
      </c>
      <c r="U42">
        <v>5048937</v>
      </c>
      <c r="V42">
        <v>2193</v>
      </c>
      <c r="X42" s="22" t="s">
        <v>262</v>
      </c>
      <c r="Y42" t="b">
        <f>B42=X42</f>
        <v>1</v>
      </c>
      <c r="AA42" s="22" t="s">
        <v>262</v>
      </c>
      <c r="AB42" t="s">
        <v>22</v>
      </c>
      <c r="AC42" t="s">
        <v>23</v>
      </c>
      <c r="AD42" t="s">
        <v>265</v>
      </c>
      <c r="AE42" t="s">
        <v>266</v>
      </c>
      <c r="AF42" s="5">
        <v>1303647</v>
      </c>
      <c r="AG42" s="5">
        <v>5048937</v>
      </c>
      <c r="AH42" s="25">
        <v>47868</v>
      </c>
      <c r="AI42" t="s">
        <v>28</v>
      </c>
      <c r="AJ42" t="s">
        <v>268</v>
      </c>
      <c r="AK42">
        <v>1303647</v>
      </c>
      <c r="AL42">
        <v>5048937</v>
      </c>
      <c r="AN42" t="s">
        <v>395</v>
      </c>
      <c r="AO42">
        <v>17</v>
      </c>
      <c r="AQ42">
        <v>1469</v>
      </c>
      <c r="AS42">
        <v>36000</v>
      </c>
      <c r="AT42" s="19">
        <v>152658</v>
      </c>
      <c r="AU42" t="s">
        <v>330</v>
      </c>
      <c r="AX42">
        <v>1</v>
      </c>
      <c r="AY42" s="16" t="s">
        <v>314</v>
      </c>
      <c r="AZ42" s="16" t="s">
        <v>315</v>
      </c>
      <c r="BA42" s="16" t="s">
        <v>316</v>
      </c>
      <c r="BC42">
        <v>23.5</v>
      </c>
      <c r="BD42" t="s">
        <v>371</v>
      </c>
      <c r="BE42">
        <v>8.5</v>
      </c>
      <c r="BG42" t="s">
        <v>396</v>
      </c>
    </row>
    <row r="43" spans="1:86" x14ac:dyDescent="0.25">
      <c r="A43">
        <v>13564</v>
      </c>
      <c r="B43" s="3" t="s">
        <v>270</v>
      </c>
      <c r="C43" t="s">
        <v>22</v>
      </c>
      <c r="D43" t="s">
        <v>23</v>
      </c>
      <c r="E43" t="s">
        <v>271</v>
      </c>
      <c r="F43">
        <v>0</v>
      </c>
      <c r="G43" t="s">
        <v>272</v>
      </c>
      <c r="H43" t="s">
        <v>273</v>
      </c>
      <c r="I43" t="s">
        <v>274</v>
      </c>
      <c r="J43" s="1">
        <v>1301843</v>
      </c>
      <c r="K43" s="1">
        <v>5047123</v>
      </c>
      <c r="L43" t="s">
        <v>275</v>
      </c>
      <c r="M43" s="2">
        <v>46290</v>
      </c>
      <c r="N43" t="s">
        <v>28</v>
      </c>
      <c r="O43" t="s">
        <v>276</v>
      </c>
      <c r="Q43">
        <v>20220315</v>
      </c>
      <c r="S43" t="s">
        <v>277</v>
      </c>
      <c r="T43">
        <v>1301843</v>
      </c>
      <c r="U43">
        <v>5047123</v>
      </c>
      <c r="V43">
        <v>2193</v>
      </c>
      <c r="X43" s="22" t="s">
        <v>270</v>
      </c>
      <c r="Y43" t="b">
        <f>B43=X43</f>
        <v>1</v>
      </c>
      <c r="AA43" s="22" t="s">
        <v>270</v>
      </c>
      <c r="AB43" t="s">
        <v>22</v>
      </c>
      <c r="AC43" t="s">
        <v>23</v>
      </c>
      <c r="AD43" t="s">
        <v>273</v>
      </c>
      <c r="AE43" t="s">
        <v>378</v>
      </c>
      <c r="AF43" s="5">
        <v>1301843</v>
      </c>
      <c r="AG43" s="5">
        <v>5047123</v>
      </c>
      <c r="AH43" s="25">
        <v>46290</v>
      </c>
      <c r="AI43" t="s">
        <v>28</v>
      </c>
      <c r="AJ43" t="s">
        <v>276</v>
      </c>
      <c r="AK43">
        <v>1301843</v>
      </c>
      <c r="AL43">
        <v>5047123</v>
      </c>
      <c r="AN43" t="s">
        <v>379</v>
      </c>
      <c r="AO43">
        <v>20</v>
      </c>
      <c r="AS43">
        <v>32581</v>
      </c>
      <c r="AT43" s="19">
        <v>175448</v>
      </c>
      <c r="AU43" t="s">
        <v>377</v>
      </c>
      <c r="AX43">
        <v>1</v>
      </c>
      <c r="AY43" s="16" t="s">
        <v>314</v>
      </c>
      <c r="AZ43" s="16" t="s">
        <v>315</v>
      </c>
      <c r="BA43" s="16" t="s">
        <v>316</v>
      </c>
      <c r="BC43">
        <v>34.700000000000003</v>
      </c>
      <c r="BD43">
        <v>200</v>
      </c>
      <c r="BE43">
        <v>18.5</v>
      </c>
    </row>
    <row r="44" spans="1:86" x14ac:dyDescent="0.25">
      <c r="A44">
        <v>14083</v>
      </c>
      <c r="B44" s="3" t="s">
        <v>278</v>
      </c>
      <c r="C44" t="s">
        <v>22</v>
      </c>
      <c r="D44" t="s">
        <v>23</v>
      </c>
      <c r="E44" t="s">
        <v>279</v>
      </c>
      <c r="F44">
        <v>0</v>
      </c>
      <c r="G44" t="s">
        <v>280</v>
      </c>
      <c r="H44" t="s">
        <v>281</v>
      </c>
      <c r="I44" t="s">
        <v>282</v>
      </c>
      <c r="J44" s="1">
        <v>1305950</v>
      </c>
      <c r="K44" s="1">
        <v>5050705</v>
      </c>
      <c r="L44" t="s">
        <v>283</v>
      </c>
      <c r="M44" s="2">
        <v>46577</v>
      </c>
      <c r="N44" t="s">
        <v>28</v>
      </c>
      <c r="O44" t="s">
        <v>284</v>
      </c>
      <c r="Q44">
        <v>20220315</v>
      </c>
      <c r="S44" t="s">
        <v>285</v>
      </c>
      <c r="T44">
        <v>1305950</v>
      </c>
      <c r="U44">
        <v>5050705</v>
      </c>
      <c r="V44">
        <v>2193</v>
      </c>
      <c r="AN44" t="s">
        <v>393</v>
      </c>
      <c r="AO44">
        <v>23</v>
      </c>
      <c r="AS44">
        <v>39871</v>
      </c>
      <c r="AT44" s="19">
        <v>117411</v>
      </c>
      <c r="BC44">
        <v>27</v>
      </c>
      <c r="BD44">
        <v>300</v>
      </c>
      <c r="BE44">
        <v>16.5</v>
      </c>
    </row>
    <row r="46" spans="1:86" x14ac:dyDescent="0.25">
      <c r="AQ46" t="s">
        <v>398</v>
      </c>
      <c r="AT46" s="19">
        <f>SUM(AT2:AT44)</f>
        <v>17147430.262000002</v>
      </c>
    </row>
    <row r="47" spans="1:86" x14ac:dyDescent="0.25">
      <c r="AR47" s="28" t="s">
        <v>397</v>
      </c>
      <c r="AT47" s="29">
        <f>SUM(AT39,AT36,AT32,AT22,AT18,AT16,AT14,AT13,AT11,AT10,AT5,AT3,AT2)</f>
        <v>1784988</v>
      </c>
    </row>
  </sheetData>
  <sortState xmlns:xlrd2="http://schemas.microsoft.com/office/spreadsheetml/2017/richdata2" ref="AA2:BE39">
    <sortCondition ref="AA2:AA39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2"/>
  <sheetViews>
    <sheetView tabSelected="1" zoomScale="90" zoomScaleNormal="90" workbookViewId="0">
      <selection activeCell="Q36" sqref="Q36"/>
    </sheetView>
  </sheetViews>
  <sheetFormatPr defaultRowHeight="15" x14ac:dyDescent="0.25"/>
  <cols>
    <col min="4" max="4" width="16.7109375" customWidth="1"/>
    <col min="5" max="6" width="0" hidden="1" customWidth="1"/>
    <col min="7" max="7" width="27.5703125" hidden="1" customWidth="1"/>
    <col min="8" max="8" width="0" hidden="1" customWidth="1"/>
    <col min="11" max="11" width="14.140625" customWidth="1"/>
    <col min="12" max="12" width="0" hidden="1" customWidth="1"/>
    <col min="14" max="16" width="0" hidden="1" customWidth="1"/>
    <col min="17" max="17" width="11.28515625" customWidth="1"/>
    <col min="18" max="18" width="13.28515625" bestFit="1" customWidth="1"/>
    <col min="19" max="19" width="20.7109375" bestFit="1" customWidth="1"/>
    <col min="21" max="21" width="16.28515625" bestFit="1" customWidth="1"/>
    <col min="22" max="22" width="19" bestFit="1" customWidth="1"/>
    <col min="23" max="23" width="19.7109375" bestFit="1" customWidth="1"/>
    <col min="24" max="24" width="17.7109375" bestFit="1" customWidth="1"/>
    <col min="25" max="25" width="29" bestFit="1" customWidth="1"/>
    <col min="26" max="27" width="9.140625" hidden="1" customWidth="1"/>
    <col min="28" max="28" width="9.140625" customWidth="1"/>
    <col min="29" max="32" width="9.140625" hidden="1" customWidth="1"/>
  </cols>
  <sheetData>
    <row r="1" spans="1:35" x14ac:dyDescent="0.25">
      <c r="A1" s="30" t="s">
        <v>426</v>
      </c>
      <c r="B1" s="30" t="s">
        <v>427</v>
      </c>
      <c r="C1" s="30" t="s">
        <v>428</v>
      </c>
      <c r="D1" s="31" t="s">
        <v>1</v>
      </c>
      <c r="E1" s="30" t="s">
        <v>2</v>
      </c>
      <c r="F1" s="30" t="s">
        <v>3</v>
      </c>
      <c r="G1" s="30" t="s">
        <v>7</v>
      </c>
      <c r="H1" s="30" t="s">
        <v>8</v>
      </c>
      <c r="I1" s="32" t="s">
        <v>9</v>
      </c>
      <c r="J1" s="32" t="s">
        <v>10</v>
      </c>
      <c r="K1" s="30" t="s">
        <v>12</v>
      </c>
      <c r="L1" s="30" t="s">
        <v>13</v>
      </c>
      <c r="M1" s="30" t="s">
        <v>14</v>
      </c>
      <c r="N1" s="30" t="s">
        <v>19</v>
      </c>
      <c r="O1" s="30" t="s">
        <v>20</v>
      </c>
      <c r="P1" s="6" t="s">
        <v>292</v>
      </c>
      <c r="Q1" s="7" t="s">
        <v>293</v>
      </c>
      <c r="R1" s="7" t="s">
        <v>294</v>
      </c>
      <c r="S1" s="35" t="s">
        <v>449</v>
      </c>
      <c r="T1" s="7" t="s">
        <v>295</v>
      </c>
      <c r="U1" s="7" t="s">
        <v>296</v>
      </c>
      <c r="V1" s="7" t="s">
        <v>297</v>
      </c>
      <c r="W1" s="7" t="s">
        <v>298</v>
      </c>
      <c r="X1" s="8" t="s">
        <v>299</v>
      </c>
      <c r="Y1" s="7" t="s">
        <v>300</v>
      </c>
      <c r="Z1" s="7" t="s">
        <v>301</v>
      </c>
      <c r="AA1" s="7" t="s">
        <v>302</v>
      </c>
      <c r="AB1" s="7" t="s">
        <v>303</v>
      </c>
      <c r="AC1" s="7" t="s">
        <v>304</v>
      </c>
      <c r="AD1" s="7" t="s">
        <v>305</v>
      </c>
      <c r="AE1" s="7" t="s">
        <v>306</v>
      </c>
      <c r="AF1" s="9" t="s">
        <v>307</v>
      </c>
      <c r="AG1" s="10" t="s">
        <v>308</v>
      </c>
      <c r="AH1" s="10" t="s">
        <v>309</v>
      </c>
      <c r="AI1" s="10" t="s">
        <v>310</v>
      </c>
    </row>
    <row r="2" spans="1:35" x14ac:dyDescent="0.25">
      <c r="A2" t="s">
        <v>403</v>
      </c>
      <c r="D2" s="4">
        <v>2000.095</v>
      </c>
      <c r="E2" t="s">
        <v>22</v>
      </c>
      <c r="F2" t="s">
        <v>23</v>
      </c>
      <c r="G2" t="s">
        <v>25</v>
      </c>
      <c r="H2" t="s">
        <v>26</v>
      </c>
      <c r="I2" s="5">
        <v>1301122</v>
      </c>
      <c r="J2" s="5">
        <v>5050093</v>
      </c>
      <c r="K2" s="2">
        <v>46138</v>
      </c>
      <c r="L2" t="s">
        <v>28</v>
      </c>
      <c r="M2" t="s">
        <v>29</v>
      </c>
      <c r="N2">
        <v>1301122</v>
      </c>
      <c r="O2">
        <v>5050093</v>
      </c>
      <c r="P2" s="15"/>
      <c r="Q2" s="16" t="s">
        <v>326</v>
      </c>
      <c r="R2" s="16">
        <v>2.5</v>
      </c>
      <c r="S2" s="34"/>
      <c r="T2" s="16"/>
      <c r="U2" s="16">
        <v>22</v>
      </c>
      <c r="V2" s="16"/>
      <c r="W2" s="16"/>
      <c r="X2" s="17"/>
      <c r="Y2" s="16" t="s">
        <v>327</v>
      </c>
      <c r="Z2" s="16"/>
      <c r="AA2" s="16"/>
      <c r="AB2" s="16">
        <v>1</v>
      </c>
      <c r="AC2" s="16" t="s">
        <v>314</v>
      </c>
      <c r="AD2" s="16" t="s">
        <v>315</v>
      </c>
      <c r="AE2" s="16" t="s">
        <v>316</v>
      </c>
      <c r="AF2" s="18"/>
      <c r="AG2" s="39">
        <v>51.484999999999999</v>
      </c>
      <c r="AH2" s="34"/>
      <c r="AI2" s="39">
        <v>39.86</v>
      </c>
    </row>
    <row r="3" spans="1:35" x14ac:dyDescent="0.25">
      <c r="A3" t="s">
        <v>403</v>
      </c>
      <c r="D3" s="4">
        <v>2000.212</v>
      </c>
      <c r="E3" t="s">
        <v>22</v>
      </c>
      <c r="F3" t="s">
        <v>23</v>
      </c>
      <c r="G3" t="s">
        <v>31</v>
      </c>
      <c r="H3" t="s">
        <v>32</v>
      </c>
      <c r="I3" s="5">
        <v>1305727</v>
      </c>
      <c r="J3" s="5">
        <v>5047894</v>
      </c>
      <c r="K3" s="2">
        <v>45851</v>
      </c>
      <c r="L3" t="s">
        <v>28</v>
      </c>
      <c r="M3" t="s">
        <v>34</v>
      </c>
      <c r="N3">
        <v>1305727</v>
      </c>
      <c r="O3">
        <v>5047894</v>
      </c>
      <c r="P3" s="15"/>
      <c r="Q3" s="16" t="s">
        <v>328</v>
      </c>
      <c r="R3" s="16">
        <v>3</v>
      </c>
      <c r="S3" s="33"/>
      <c r="T3" s="16"/>
      <c r="U3" s="16">
        <v>9</v>
      </c>
      <c r="V3" s="16"/>
      <c r="W3" s="16"/>
      <c r="X3" s="17"/>
      <c r="Y3" s="16" t="s">
        <v>329</v>
      </c>
      <c r="Z3" s="16"/>
      <c r="AA3" s="16"/>
      <c r="AB3" s="16">
        <v>1</v>
      </c>
      <c r="AC3" s="16" t="s">
        <v>314</v>
      </c>
      <c r="AD3" s="16" t="s">
        <v>315</v>
      </c>
      <c r="AE3" s="16" t="s">
        <v>316</v>
      </c>
      <c r="AF3" s="18" t="s">
        <v>330</v>
      </c>
      <c r="AG3">
        <v>19.399999999999999</v>
      </c>
      <c r="AI3">
        <v>11.4</v>
      </c>
    </row>
    <row r="4" spans="1:35" x14ac:dyDescent="0.25">
      <c r="A4" t="s">
        <v>399</v>
      </c>
      <c r="D4" s="4">
        <v>2001.1220000000001</v>
      </c>
      <c r="E4" t="s">
        <v>22</v>
      </c>
      <c r="F4" t="s">
        <v>23</v>
      </c>
      <c r="G4" t="s">
        <v>43</v>
      </c>
      <c r="H4" t="s">
        <v>44</v>
      </c>
      <c r="I4" s="5">
        <v>1305427</v>
      </c>
      <c r="J4" s="5">
        <v>5046193</v>
      </c>
      <c r="K4" s="2">
        <v>49766</v>
      </c>
      <c r="L4" t="s">
        <v>28</v>
      </c>
      <c r="M4" t="s">
        <v>46</v>
      </c>
      <c r="N4">
        <v>1305427</v>
      </c>
      <c r="O4">
        <v>5046193</v>
      </c>
      <c r="P4" s="11" t="s">
        <v>311</v>
      </c>
      <c r="Q4" s="12" t="s">
        <v>312</v>
      </c>
      <c r="R4" s="12">
        <v>16.7</v>
      </c>
      <c r="S4" s="40" t="s">
        <v>443</v>
      </c>
      <c r="T4" s="12"/>
      <c r="U4" s="12">
        <v>1000</v>
      </c>
      <c r="V4" s="12"/>
      <c r="W4" s="12"/>
      <c r="X4" s="13">
        <v>90000</v>
      </c>
      <c r="Y4" s="12" t="s">
        <v>313</v>
      </c>
      <c r="Z4" s="12" t="s">
        <v>23</v>
      </c>
      <c r="AA4" s="12" t="s">
        <v>311</v>
      </c>
      <c r="AB4" s="12">
        <v>1</v>
      </c>
      <c r="AC4" s="12" t="s">
        <v>314</v>
      </c>
      <c r="AD4" s="12" t="s">
        <v>315</v>
      </c>
      <c r="AE4" s="12" t="s">
        <v>316</v>
      </c>
      <c r="AF4" s="14" t="s">
        <v>317</v>
      </c>
      <c r="AG4">
        <v>111.2</v>
      </c>
      <c r="AI4">
        <v>93.35</v>
      </c>
    </row>
    <row r="5" spans="1:35" x14ac:dyDescent="0.25">
      <c r="A5" t="s">
        <v>406</v>
      </c>
      <c r="D5" s="4">
        <v>2002.798</v>
      </c>
      <c r="E5" t="s">
        <v>22</v>
      </c>
      <c r="F5" t="s">
        <v>23</v>
      </c>
      <c r="G5" t="s">
        <v>61</v>
      </c>
      <c r="H5" t="s">
        <v>62</v>
      </c>
      <c r="I5" s="5">
        <v>1305225</v>
      </c>
      <c r="J5" s="5">
        <v>5048995</v>
      </c>
      <c r="K5" s="2">
        <v>46829</v>
      </c>
      <c r="L5" t="s">
        <v>28</v>
      </c>
      <c r="M5" t="s">
        <v>64</v>
      </c>
      <c r="N5">
        <v>1305225</v>
      </c>
      <c r="O5">
        <v>5048995</v>
      </c>
      <c r="P5" s="15"/>
      <c r="Q5" s="16" t="s">
        <v>333</v>
      </c>
      <c r="R5" s="16">
        <v>2.5</v>
      </c>
      <c r="S5" s="33"/>
      <c r="T5" s="16"/>
      <c r="U5" s="16">
        <v>150</v>
      </c>
      <c r="V5" s="16">
        <v>1050</v>
      </c>
      <c r="W5" s="16">
        <v>40200</v>
      </c>
      <c r="X5" s="17"/>
      <c r="Y5" s="16" t="s">
        <v>329</v>
      </c>
      <c r="Z5" s="16"/>
      <c r="AA5" s="16"/>
      <c r="AB5" s="16">
        <v>1</v>
      </c>
      <c r="AC5" s="16" t="s">
        <v>314</v>
      </c>
      <c r="AD5" s="16" t="s">
        <v>315</v>
      </c>
      <c r="AE5" s="16" t="s">
        <v>316</v>
      </c>
      <c r="AF5" s="18"/>
      <c r="AG5">
        <v>20.88</v>
      </c>
      <c r="AH5">
        <v>150</v>
      </c>
      <c r="AI5">
        <v>7.13</v>
      </c>
    </row>
    <row r="6" spans="1:35" x14ac:dyDescent="0.25">
      <c r="A6" t="s">
        <v>408</v>
      </c>
      <c r="D6" s="4">
        <v>2003.59</v>
      </c>
      <c r="E6" t="s">
        <v>22</v>
      </c>
      <c r="F6" t="s">
        <v>23</v>
      </c>
      <c r="G6" t="s">
        <v>73</v>
      </c>
      <c r="H6" t="s">
        <v>74</v>
      </c>
      <c r="I6" s="5">
        <v>1306124</v>
      </c>
      <c r="J6" s="5">
        <v>5052998</v>
      </c>
      <c r="K6" s="2">
        <v>50622</v>
      </c>
      <c r="L6" t="s">
        <v>28</v>
      </c>
      <c r="M6" t="s">
        <v>76</v>
      </c>
      <c r="N6">
        <v>1306124</v>
      </c>
      <c r="O6">
        <v>5052998</v>
      </c>
      <c r="P6" s="15"/>
      <c r="Q6" s="16" t="s">
        <v>335</v>
      </c>
      <c r="R6" s="16">
        <v>40</v>
      </c>
      <c r="S6" s="33"/>
      <c r="T6" s="16"/>
      <c r="U6" s="16">
        <v>3456</v>
      </c>
      <c r="V6" s="16">
        <v>24192</v>
      </c>
      <c r="W6" s="16">
        <v>96768</v>
      </c>
      <c r="X6" s="17">
        <v>580608</v>
      </c>
      <c r="Y6" s="16" t="s">
        <v>329</v>
      </c>
      <c r="Z6" s="16"/>
      <c r="AA6" s="16"/>
      <c r="AB6" s="16">
        <v>1</v>
      </c>
      <c r="AC6" s="16" t="s">
        <v>314</v>
      </c>
      <c r="AD6" s="16" t="s">
        <v>315</v>
      </c>
      <c r="AE6" s="16" t="s">
        <v>316</v>
      </c>
      <c r="AF6" s="18"/>
      <c r="AG6">
        <v>54</v>
      </c>
      <c r="AH6">
        <v>750</v>
      </c>
      <c r="AI6">
        <v>28.6</v>
      </c>
    </row>
    <row r="7" spans="1:35" x14ac:dyDescent="0.25">
      <c r="A7" t="s">
        <v>410</v>
      </c>
      <c r="D7" s="4">
        <v>2003.7539999999999</v>
      </c>
      <c r="E7" t="s">
        <v>22</v>
      </c>
      <c r="F7" t="s">
        <v>23</v>
      </c>
      <c r="G7" t="s">
        <v>84</v>
      </c>
      <c r="H7" t="s">
        <v>85</v>
      </c>
      <c r="I7" s="5">
        <v>1305924</v>
      </c>
      <c r="J7" s="5">
        <v>5051897</v>
      </c>
      <c r="K7" s="2">
        <v>47319</v>
      </c>
      <c r="L7" t="s">
        <v>28</v>
      </c>
      <c r="M7" t="s">
        <v>87</v>
      </c>
      <c r="N7">
        <v>1305924</v>
      </c>
      <c r="O7">
        <v>5051897</v>
      </c>
      <c r="P7" s="36"/>
      <c r="Q7" s="36" t="s">
        <v>337</v>
      </c>
      <c r="R7" s="36">
        <v>22</v>
      </c>
      <c r="S7" s="33"/>
      <c r="T7" s="36"/>
      <c r="U7" s="36">
        <v>1900</v>
      </c>
      <c r="V7" s="36">
        <v>13305.6</v>
      </c>
      <c r="W7" s="36">
        <v>57784.3</v>
      </c>
      <c r="X7" s="38">
        <v>346706</v>
      </c>
      <c r="Y7" s="36" t="s">
        <v>329</v>
      </c>
      <c r="Z7" s="36"/>
      <c r="AA7" s="36"/>
      <c r="AB7" s="36">
        <v>1</v>
      </c>
      <c r="AC7" s="16" t="s">
        <v>314</v>
      </c>
      <c r="AD7" s="16" t="s">
        <v>315</v>
      </c>
      <c r="AE7" s="16" t="s">
        <v>316</v>
      </c>
      <c r="AF7" s="36"/>
      <c r="AG7" s="16">
        <v>35</v>
      </c>
      <c r="AH7">
        <v>300</v>
      </c>
      <c r="AI7" s="16"/>
    </row>
    <row r="8" spans="1:35" x14ac:dyDescent="0.25">
      <c r="A8" t="s">
        <v>412</v>
      </c>
      <c r="D8" s="4">
        <v>2004.587</v>
      </c>
      <c r="E8" t="s">
        <v>22</v>
      </c>
      <c r="F8" t="s">
        <v>23</v>
      </c>
      <c r="G8" t="s">
        <v>94</v>
      </c>
      <c r="H8" t="s">
        <v>95</v>
      </c>
      <c r="I8" s="5">
        <v>1305427</v>
      </c>
      <c r="J8" s="5">
        <v>5047394</v>
      </c>
      <c r="K8" s="2">
        <v>47329</v>
      </c>
      <c r="L8" t="s">
        <v>28</v>
      </c>
      <c r="M8" t="s">
        <v>97</v>
      </c>
      <c r="N8">
        <v>1305427</v>
      </c>
      <c r="O8">
        <v>5047394</v>
      </c>
      <c r="P8" s="15"/>
      <c r="Q8" s="16" t="s">
        <v>339</v>
      </c>
      <c r="R8" s="16">
        <v>1.2</v>
      </c>
      <c r="S8" s="33"/>
      <c r="T8" s="16"/>
      <c r="U8" s="16">
        <v>75</v>
      </c>
      <c r="V8" s="16">
        <v>525</v>
      </c>
      <c r="W8" s="16">
        <v>2273.25</v>
      </c>
      <c r="X8" s="17">
        <v>10998</v>
      </c>
      <c r="Y8" s="16" t="s">
        <v>329</v>
      </c>
      <c r="Z8" s="16"/>
      <c r="AA8" s="16"/>
      <c r="AB8" s="16">
        <v>1</v>
      </c>
      <c r="AC8" s="16" t="s">
        <v>314</v>
      </c>
      <c r="AD8" s="16" t="s">
        <v>315</v>
      </c>
      <c r="AE8" s="16" t="s">
        <v>316</v>
      </c>
      <c r="AF8" s="18"/>
      <c r="AG8">
        <v>21.26</v>
      </c>
      <c r="AH8">
        <v>125</v>
      </c>
      <c r="AI8">
        <v>12.97</v>
      </c>
    </row>
    <row r="9" spans="1:35" x14ac:dyDescent="0.25">
      <c r="A9" t="s">
        <v>416</v>
      </c>
      <c r="D9" s="4">
        <v>2008.1320000000001</v>
      </c>
      <c r="E9" t="s">
        <v>22</v>
      </c>
      <c r="F9" t="s">
        <v>23</v>
      </c>
      <c r="G9" t="s">
        <v>113</v>
      </c>
      <c r="H9" t="s">
        <v>114</v>
      </c>
      <c r="I9" s="5">
        <v>1303566</v>
      </c>
      <c r="J9" s="5">
        <v>5048821</v>
      </c>
      <c r="K9" s="2">
        <v>49009</v>
      </c>
      <c r="L9" t="s">
        <v>28</v>
      </c>
      <c r="M9" t="s">
        <v>116</v>
      </c>
      <c r="N9">
        <v>1303566</v>
      </c>
      <c r="O9">
        <v>5048821</v>
      </c>
      <c r="P9" s="15"/>
      <c r="Q9" s="16" t="s">
        <v>348</v>
      </c>
      <c r="R9" s="16">
        <v>1.74</v>
      </c>
      <c r="S9" s="33"/>
      <c r="T9" s="16"/>
      <c r="U9" s="16">
        <v>150</v>
      </c>
      <c r="V9" s="16"/>
      <c r="W9" s="16">
        <v>4200</v>
      </c>
      <c r="X9" s="17">
        <v>20250</v>
      </c>
      <c r="Y9" s="36" t="s">
        <v>329</v>
      </c>
      <c r="Z9" s="16"/>
      <c r="AA9" s="16"/>
      <c r="AB9" s="16">
        <v>1</v>
      </c>
      <c r="AC9" s="16" t="s">
        <v>314</v>
      </c>
      <c r="AD9" s="16" t="s">
        <v>315</v>
      </c>
      <c r="AE9" s="16" t="s">
        <v>316</v>
      </c>
      <c r="AF9" s="18"/>
      <c r="AG9">
        <v>17.7</v>
      </c>
      <c r="AH9">
        <v>125</v>
      </c>
      <c r="AI9">
        <v>8.5</v>
      </c>
    </row>
    <row r="10" spans="1:35" x14ac:dyDescent="0.25">
      <c r="A10" t="s">
        <v>403</v>
      </c>
      <c r="D10" s="4">
        <v>98162</v>
      </c>
      <c r="E10" t="s">
        <v>22</v>
      </c>
      <c r="F10" t="s">
        <v>23</v>
      </c>
      <c r="G10" t="s">
        <v>287</v>
      </c>
      <c r="H10" t="s">
        <v>288</v>
      </c>
      <c r="I10" s="5">
        <v>1299120</v>
      </c>
      <c r="J10" s="5">
        <v>5049992</v>
      </c>
      <c r="K10" s="2">
        <v>45078</v>
      </c>
      <c r="L10" t="s">
        <v>28</v>
      </c>
      <c r="M10" t="s">
        <v>290</v>
      </c>
      <c r="N10">
        <v>1299120</v>
      </c>
      <c r="O10">
        <v>5049992</v>
      </c>
      <c r="P10" s="15"/>
      <c r="Q10" s="16" t="s">
        <v>380</v>
      </c>
      <c r="R10" s="16">
        <v>1</v>
      </c>
      <c r="S10" s="34"/>
      <c r="T10" s="16"/>
      <c r="U10" s="16">
        <v>12</v>
      </c>
      <c r="V10" s="16"/>
      <c r="W10" s="16"/>
      <c r="X10" s="17"/>
      <c r="Y10" s="16" t="s">
        <v>364</v>
      </c>
      <c r="Z10" s="16"/>
      <c r="AA10" s="16"/>
      <c r="AB10" s="16">
        <v>1</v>
      </c>
      <c r="AC10" s="16" t="s">
        <v>314</v>
      </c>
      <c r="AD10" s="16" t="s">
        <v>315</v>
      </c>
      <c r="AE10" s="16" t="s">
        <v>316</v>
      </c>
      <c r="AF10" s="18"/>
      <c r="AG10">
        <v>20</v>
      </c>
      <c r="AH10">
        <v>100</v>
      </c>
    </row>
    <row r="11" spans="1:35" x14ac:dyDescent="0.25">
      <c r="A11" t="s">
        <v>404</v>
      </c>
      <c r="D11" s="4" t="s">
        <v>36</v>
      </c>
      <c r="E11" t="s">
        <v>22</v>
      </c>
      <c r="F11" t="s">
        <v>23</v>
      </c>
      <c r="G11" t="s">
        <v>37</v>
      </c>
      <c r="H11" t="s">
        <v>38</v>
      </c>
      <c r="I11" s="5">
        <v>1300686</v>
      </c>
      <c r="J11" s="5">
        <v>5049781</v>
      </c>
      <c r="K11" s="2">
        <v>45953</v>
      </c>
      <c r="L11" t="s">
        <v>28</v>
      </c>
      <c r="M11" t="s">
        <v>40</v>
      </c>
      <c r="N11">
        <v>1300686</v>
      </c>
      <c r="O11">
        <v>5049781</v>
      </c>
      <c r="P11" s="15"/>
      <c r="Q11" s="16" t="s">
        <v>331</v>
      </c>
      <c r="R11" s="16">
        <v>2.8</v>
      </c>
      <c r="S11" s="34"/>
      <c r="T11" s="16"/>
      <c r="U11" s="16">
        <v>95</v>
      </c>
      <c r="V11" s="16"/>
      <c r="W11" s="16">
        <v>2850</v>
      </c>
      <c r="X11" s="17"/>
      <c r="Y11" s="16" t="s">
        <v>327</v>
      </c>
      <c r="Z11" s="16"/>
      <c r="AA11" s="16"/>
      <c r="AB11" s="16">
        <v>1</v>
      </c>
      <c r="AC11" s="16" t="s">
        <v>314</v>
      </c>
      <c r="AD11" s="16" t="s">
        <v>315</v>
      </c>
      <c r="AE11" s="16" t="s">
        <v>316</v>
      </c>
      <c r="AF11" s="18"/>
      <c r="AG11">
        <v>45.7</v>
      </c>
      <c r="AH11">
        <v>150</v>
      </c>
      <c r="AI11">
        <v>40.25</v>
      </c>
    </row>
    <row r="12" spans="1:35" x14ac:dyDescent="0.25">
      <c r="A12" t="s">
        <v>405</v>
      </c>
      <c r="D12" s="4" t="s">
        <v>48</v>
      </c>
      <c r="E12" t="s">
        <v>22</v>
      </c>
      <c r="F12" t="s">
        <v>23</v>
      </c>
      <c r="G12" t="s">
        <v>50</v>
      </c>
      <c r="H12" t="s">
        <v>51</v>
      </c>
      <c r="I12" s="5">
        <v>1306226</v>
      </c>
      <c r="J12" s="5">
        <v>5050096</v>
      </c>
      <c r="K12" s="2">
        <v>46654</v>
      </c>
      <c r="L12" t="s">
        <v>28</v>
      </c>
      <c r="M12" t="s">
        <v>53</v>
      </c>
      <c r="N12">
        <v>1306226</v>
      </c>
      <c r="O12">
        <v>5050096</v>
      </c>
      <c r="P12" s="15"/>
      <c r="Q12" s="16" t="s">
        <v>332</v>
      </c>
      <c r="R12" s="16">
        <v>30</v>
      </c>
      <c r="S12" s="33"/>
      <c r="T12" s="16"/>
      <c r="U12" s="16">
        <v>2484</v>
      </c>
      <c r="V12" s="16"/>
      <c r="W12" s="16">
        <v>17388</v>
      </c>
      <c r="X12" s="17">
        <v>67068</v>
      </c>
      <c r="Y12" s="16" t="s">
        <v>329</v>
      </c>
      <c r="Z12" s="16"/>
      <c r="AA12" s="16"/>
      <c r="AB12" s="16">
        <v>1</v>
      </c>
      <c r="AC12" s="16" t="s">
        <v>314</v>
      </c>
      <c r="AD12" s="16" t="s">
        <v>315</v>
      </c>
      <c r="AE12" s="16" t="s">
        <v>316</v>
      </c>
      <c r="AF12" s="18"/>
      <c r="AG12">
        <v>30.28</v>
      </c>
      <c r="AH12">
        <v>250</v>
      </c>
    </row>
    <row r="13" spans="1:35" x14ac:dyDescent="0.25">
      <c r="A13" t="s">
        <v>407</v>
      </c>
      <c r="D13" s="4" t="s">
        <v>66</v>
      </c>
      <c r="E13" t="s">
        <v>22</v>
      </c>
      <c r="F13" t="s">
        <v>23</v>
      </c>
      <c r="G13" t="s">
        <v>68</v>
      </c>
      <c r="H13" t="s">
        <v>69</v>
      </c>
      <c r="I13" s="5">
        <v>1305126</v>
      </c>
      <c r="J13" s="5">
        <v>5047493</v>
      </c>
      <c r="K13" s="2">
        <v>44986</v>
      </c>
      <c r="L13" t="s">
        <v>28</v>
      </c>
      <c r="M13" t="s">
        <v>71</v>
      </c>
      <c r="N13">
        <v>1305126</v>
      </c>
      <c r="O13">
        <v>5047493</v>
      </c>
      <c r="P13" s="15"/>
      <c r="Q13" s="16" t="s">
        <v>334</v>
      </c>
      <c r="R13" s="16">
        <v>1</v>
      </c>
      <c r="S13" s="33"/>
      <c r="T13" s="16"/>
      <c r="U13" s="16">
        <v>50</v>
      </c>
      <c r="V13" s="16"/>
      <c r="W13" s="16"/>
      <c r="X13" s="17"/>
      <c r="Y13" s="16" t="s">
        <v>329</v>
      </c>
      <c r="Z13" s="16"/>
      <c r="AA13" s="16"/>
      <c r="AB13" s="16">
        <v>1</v>
      </c>
      <c r="AC13" s="16" t="s">
        <v>314</v>
      </c>
      <c r="AD13" s="16" t="s">
        <v>315</v>
      </c>
      <c r="AE13" s="16" t="s">
        <v>316</v>
      </c>
      <c r="AF13" s="18"/>
      <c r="AG13">
        <v>46.7</v>
      </c>
      <c r="AH13">
        <v>125</v>
      </c>
      <c r="AI13">
        <v>33.36</v>
      </c>
    </row>
    <row r="14" spans="1:35" x14ac:dyDescent="0.25">
      <c r="A14" t="s">
        <v>409</v>
      </c>
      <c r="D14" s="4" t="s">
        <v>78</v>
      </c>
      <c r="E14" t="s">
        <v>22</v>
      </c>
      <c r="F14" t="s">
        <v>23</v>
      </c>
      <c r="G14" t="s">
        <v>79</v>
      </c>
      <c r="H14" t="s">
        <v>80</v>
      </c>
      <c r="I14" s="5">
        <v>1306124</v>
      </c>
      <c r="J14" s="5">
        <v>5052098</v>
      </c>
      <c r="K14" s="2">
        <v>46983</v>
      </c>
      <c r="L14" t="s">
        <v>28</v>
      </c>
      <c r="M14" t="s">
        <v>82</v>
      </c>
      <c r="N14">
        <v>1306124</v>
      </c>
      <c r="O14">
        <v>5052098</v>
      </c>
      <c r="P14" s="15"/>
      <c r="Q14" s="16" t="s">
        <v>336</v>
      </c>
      <c r="R14" s="16">
        <v>10</v>
      </c>
      <c r="S14" s="33"/>
      <c r="T14" s="16"/>
      <c r="U14" s="16">
        <v>766</v>
      </c>
      <c r="V14" s="16">
        <v>5363</v>
      </c>
      <c r="W14" s="16">
        <v>23750</v>
      </c>
      <c r="X14" s="17">
        <v>133000</v>
      </c>
      <c r="Y14" s="16" t="s">
        <v>329</v>
      </c>
      <c r="Z14" s="16"/>
      <c r="AA14" s="16"/>
      <c r="AB14" s="16">
        <v>1</v>
      </c>
      <c r="AC14" s="16" t="s">
        <v>314</v>
      </c>
      <c r="AD14" s="16" t="s">
        <v>315</v>
      </c>
      <c r="AE14" s="16" t="s">
        <v>316</v>
      </c>
      <c r="AF14" s="18"/>
      <c r="AG14">
        <v>38.1</v>
      </c>
      <c r="AH14">
        <v>150</v>
      </c>
      <c r="AI14">
        <v>23.72</v>
      </c>
    </row>
    <row r="15" spans="1:35" x14ac:dyDescent="0.25">
      <c r="A15" t="s">
        <v>411</v>
      </c>
      <c r="D15" s="4" t="s">
        <v>89</v>
      </c>
      <c r="E15" t="s">
        <v>22</v>
      </c>
      <c r="F15" t="s">
        <v>23</v>
      </c>
      <c r="G15" t="s">
        <v>61</v>
      </c>
      <c r="H15" t="s">
        <v>62</v>
      </c>
      <c r="I15" s="5">
        <v>1305093</v>
      </c>
      <c r="J15" s="5">
        <v>5047989</v>
      </c>
      <c r="K15" s="2">
        <v>47326</v>
      </c>
      <c r="L15" t="s">
        <v>28</v>
      </c>
      <c r="M15" t="s">
        <v>92</v>
      </c>
      <c r="N15">
        <v>1305093</v>
      </c>
      <c r="O15">
        <v>5047989</v>
      </c>
      <c r="P15" s="15"/>
      <c r="Q15" s="16" t="s">
        <v>338</v>
      </c>
      <c r="R15" s="16">
        <v>3.5</v>
      </c>
      <c r="S15" s="33"/>
      <c r="T15" s="16"/>
      <c r="U15" s="16">
        <v>165</v>
      </c>
      <c r="V15" s="16">
        <v>1155</v>
      </c>
      <c r="W15" s="16">
        <v>5032.5</v>
      </c>
      <c r="X15" s="17"/>
      <c r="Y15" s="16" t="s">
        <v>329</v>
      </c>
      <c r="Z15" s="16"/>
      <c r="AA15" s="16"/>
      <c r="AB15" s="16">
        <v>1</v>
      </c>
      <c r="AC15" s="16" t="s">
        <v>314</v>
      </c>
      <c r="AD15" s="16" t="s">
        <v>315</v>
      </c>
      <c r="AE15" s="16" t="s">
        <v>316</v>
      </c>
      <c r="AF15" s="18"/>
      <c r="AG15">
        <v>19.649999999999999</v>
      </c>
      <c r="AH15">
        <v>150</v>
      </c>
      <c r="AI15">
        <v>11.06</v>
      </c>
    </row>
    <row r="16" spans="1:35" x14ac:dyDescent="0.25">
      <c r="A16" t="s">
        <v>413</v>
      </c>
      <c r="D16" s="4" t="s">
        <v>99</v>
      </c>
      <c r="E16" t="s">
        <v>22</v>
      </c>
      <c r="F16" t="s">
        <v>23</v>
      </c>
      <c r="G16" t="s">
        <v>100</v>
      </c>
      <c r="H16" t="s">
        <v>101</v>
      </c>
      <c r="I16" s="5">
        <v>1303525</v>
      </c>
      <c r="J16" s="5">
        <v>5047592</v>
      </c>
      <c r="K16" s="2">
        <v>47409</v>
      </c>
      <c r="L16" t="s">
        <v>28</v>
      </c>
      <c r="M16" t="s">
        <v>103</v>
      </c>
      <c r="N16">
        <v>1303525</v>
      </c>
      <c r="O16">
        <v>5047592</v>
      </c>
      <c r="P16" s="15"/>
      <c r="Q16" s="16" t="s">
        <v>340</v>
      </c>
      <c r="R16" s="16">
        <v>4.7</v>
      </c>
      <c r="S16" s="33"/>
      <c r="T16" s="16"/>
      <c r="U16" s="16">
        <v>201</v>
      </c>
      <c r="V16" s="16">
        <v>1407</v>
      </c>
      <c r="W16" s="16">
        <v>6110.4</v>
      </c>
      <c r="X16" s="17">
        <v>48883.199999999997</v>
      </c>
      <c r="Y16" s="16" t="s">
        <v>329</v>
      </c>
      <c r="Z16" s="16"/>
      <c r="AA16" s="16"/>
      <c r="AB16" s="16">
        <v>1</v>
      </c>
      <c r="AC16" s="16" t="s">
        <v>314</v>
      </c>
      <c r="AD16" s="16" t="s">
        <v>315</v>
      </c>
      <c r="AE16" s="16" t="s">
        <v>316</v>
      </c>
      <c r="AF16" s="18"/>
      <c r="AG16">
        <v>58.63</v>
      </c>
      <c r="AH16">
        <v>150</v>
      </c>
      <c r="AI16">
        <v>41.64</v>
      </c>
    </row>
    <row r="17" spans="1:35" x14ac:dyDescent="0.25">
      <c r="A17" t="s">
        <v>414</v>
      </c>
      <c r="D17" s="4" t="s">
        <v>105</v>
      </c>
      <c r="E17" t="s">
        <v>22</v>
      </c>
      <c r="F17" t="s">
        <v>23</v>
      </c>
      <c r="G17" t="s">
        <v>107</v>
      </c>
      <c r="H17" t="s">
        <v>108</v>
      </c>
      <c r="I17" s="5">
        <v>1305226</v>
      </c>
      <c r="J17" s="5">
        <v>5048895</v>
      </c>
      <c r="K17" s="2">
        <v>45962</v>
      </c>
      <c r="L17" t="s">
        <v>28</v>
      </c>
      <c r="M17" t="s">
        <v>110</v>
      </c>
      <c r="N17">
        <v>1305226</v>
      </c>
      <c r="O17">
        <v>5048895</v>
      </c>
      <c r="P17" s="15"/>
      <c r="Q17" s="16" t="s">
        <v>341</v>
      </c>
      <c r="R17" s="16">
        <v>1.22</v>
      </c>
      <c r="S17" s="33"/>
      <c r="T17" s="16"/>
      <c r="U17" s="16">
        <v>63</v>
      </c>
      <c r="V17" s="16">
        <v>441</v>
      </c>
      <c r="W17" s="16"/>
      <c r="X17" s="17"/>
      <c r="Y17" s="16" t="s">
        <v>329</v>
      </c>
      <c r="Z17" s="16"/>
      <c r="AA17" s="16"/>
      <c r="AB17" s="16">
        <v>1</v>
      </c>
      <c r="AC17" s="16" t="s">
        <v>314</v>
      </c>
      <c r="AD17" s="16" t="s">
        <v>315</v>
      </c>
      <c r="AE17" s="16" t="s">
        <v>316</v>
      </c>
      <c r="AF17" s="18"/>
      <c r="AG17">
        <v>19.829999999999998</v>
      </c>
      <c r="AH17">
        <v>125</v>
      </c>
      <c r="AI17">
        <v>7.92</v>
      </c>
    </row>
    <row r="18" spans="1:35" x14ac:dyDescent="0.25">
      <c r="A18" t="s">
        <v>417</v>
      </c>
      <c r="D18" s="4" t="s">
        <v>118</v>
      </c>
      <c r="E18" t="s">
        <v>22</v>
      </c>
      <c r="F18" t="s">
        <v>23</v>
      </c>
      <c r="G18" t="s">
        <v>120</v>
      </c>
      <c r="H18" t="s">
        <v>121</v>
      </c>
      <c r="I18" s="5">
        <v>1303925</v>
      </c>
      <c r="J18" s="5">
        <v>5048594</v>
      </c>
      <c r="K18" s="2">
        <v>47868</v>
      </c>
      <c r="L18" t="s">
        <v>28</v>
      </c>
      <c r="M18" t="s">
        <v>123</v>
      </c>
      <c r="N18">
        <v>1303925</v>
      </c>
      <c r="O18">
        <v>5048594</v>
      </c>
      <c r="P18" s="15"/>
      <c r="Q18" s="16" t="s">
        <v>349</v>
      </c>
      <c r="R18" s="16">
        <v>30</v>
      </c>
      <c r="S18" s="33"/>
      <c r="T18" s="16"/>
      <c r="U18" s="16">
        <v>1000</v>
      </c>
      <c r="V18" s="16">
        <v>6000</v>
      </c>
      <c r="W18" s="16">
        <v>24000</v>
      </c>
      <c r="X18" s="17">
        <v>288000</v>
      </c>
      <c r="Y18" s="16" t="s">
        <v>329</v>
      </c>
      <c r="Z18" s="16"/>
      <c r="AA18" s="16"/>
      <c r="AB18" s="16">
        <v>0</v>
      </c>
      <c r="AC18" s="16" t="s">
        <v>314</v>
      </c>
      <c r="AD18" s="16" t="s">
        <v>315</v>
      </c>
      <c r="AE18" s="16" t="s">
        <v>316</v>
      </c>
      <c r="AF18" s="18"/>
      <c r="AG18" t="s">
        <v>350</v>
      </c>
    </row>
    <row r="19" spans="1:35" x14ac:dyDescent="0.25">
      <c r="A19" t="s">
        <v>415</v>
      </c>
      <c r="D19" s="4" t="s">
        <v>342</v>
      </c>
      <c r="E19" t="s">
        <v>22</v>
      </c>
      <c r="F19" t="s">
        <v>23</v>
      </c>
      <c r="G19" t="s">
        <v>343</v>
      </c>
      <c r="H19" t="s">
        <v>344</v>
      </c>
      <c r="I19" s="5">
        <v>1302022</v>
      </c>
      <c r="J19" s="5">
        <v>5049893</v>
      </c>
      <c r="K19" s="2">
        <v>44531</v>
      </c>
      <c r="L19" t="s">
        <v>28</v>
      </c>
      <c r="M19" t="s">
        <v>345</v>
      </c>
      <c r="N19">
        <v>1302022</v>
      </c>
      <c r="O19">
        <v>5049893</v>
      </c>
      <c r="P19" s="15"/>
      <c r="Q19" s="16" t="s">
        <v>346</v>
      </c>
      <c r="R19" s="16">
        <v>4</v>
      </c>
      <c r="S19" s="34"/>
      <c r="T19" s="16"/>
      <c r="U19" s="16"/>
      <c r="V19" s="16"/>
      <c r="W19" s="16">
        <v>11900</v>
      </c>
      <c r="X19" s="17">
        <v>50800</v>
      </c>
      <c r="Y19" s="16" t="s">
        <v>347</v>
      </c>
      <c r="Z19" s="16"/>
      <c r="AA19" s="16"/>
      <c r="AB19" s="16">
        <v>1</v>
      </c>
      <c r="AC19" s="16" t="s">
        <v>314</v>
      </c>
      <c r="AD19" s="16" t="s">
        <v>315</v>
      </c>
      <c r="AE19" s="16" t="s">
        <v>316</v>
      </c>
      <c r="AF19" s="18"/>
      <c r="AG19">
        <v>17.05</v>
      </c>
      <c r="AH19">
        <v>150</v>
      </c>
      <c r="AI19">
        <v>4.3</v>
      </c>
    </row>
    <row r="20" spans="1:35" x14ac:dyDescent="0.25">
      <c r="A20" t="s">
        <v>440</v>
      </c>
      <c r="D20" s="4" t="s">
        <v>381</v>
      </c>
      <c r="E20" t="s">
        <v>22</v>
      </c>
      <c r="F20" t="s">
        <v>23</v>
      </c>
      <c r="G20" t="s">
        <v>382</v>
      </c>
      <c r="H20" t="s">
        <v>383</v>
      </c>
      <c r="I20" s="5">
        <v>1305826</v>
      </c>
      <c r="J20" s="5">
        <v>5049195</v>
      </c>
      <c r="K20" s="2">
        <v>44501</v>
      </c>
      <c r="L20" t="s">
        <v>28</v>
      </c>
      <c r="M20" t="s">
        <v>384</v>
      </c>
      <c r="N20">
        <v>1305826</v>
      </c>
      <c r="O20">
        <v>5049195</v>
      </c>
      <c r="P20" s="15"/>
      <c r="Q20" s="16" t="s">
        <v>385</v>
      </c>
      <c r="R20" s="16">
        <v>32</v>
      </c>
      <c r="S20" s="34"/>
      <c r="T20" s="16"/>
      <c r="U20" s="16"/>
      <c r="V20" s="16"/>
      <c r="W20" s="16">
        <v>80000</v>
      </c>
      <c r="X20" s="17">
        <v>400000</v>
      </c>
      <c r="Y20" s="16" t="s">
        <v>329</v>
      </c>
      <c r="Z20" s="16"/>
      <c r="AA20" s="16"/>
      <c r="AB20" s="16">
        <v>1</v>
      </c>
      <c r="AC20" s="16" t="s">
        <v>314</v>
      </c>
      <c r="AD20" s="16" t="s">
        <v>315</v>
      </c>
      <c r="AE20" s="16" t="s">
        <v>316</v>
      </c>
      <c r="AF20" s="18"/>
      <c r="AG20">
        <v>22.48</v>
      </c>
      <c r="AH20">
        <v>200</v>
      </c>
      <c r="AI20">
        <v>8.4</v>
      </c>
    </row>
    <row r="21" spans="1:35" x14ac:dyDescent="0.25">
      <c r="A21" t="s">
        <v>418</v>
      </c>
      <c r="D21" s="4" t="s">
        <v>125</v>
      </c>
      <c r="E21" t="s">
        <v>22</v>
      </c>
      <c r="F21" t="s">
        <v>23</v>
      </c>
      <c r="G21" t="s">
        <v>43</v>
      </c>
      <c r="H21" t="s">
        <v>44</v>
      </c>
      <c r="I21" s="5">
        <v>1302496</v>
      </c>
      <c r="J21" s="5">
        <v>5047325</v>
      </c>
      <c r="K21" s="2">
        <v>49952</v>
      </c>
      <c r="L21" t="s">
        <v>28</v>
      </c>
      <c r="M21" t="s">
        <v>129</v>
      </c>
      <c r="N21">
        <v>1302496</v>
      </c>
      <c r="O21">
        <v>5047325</v>
      </c>
      <c r="P21" s="15"/>
      <c r="Q21" s="16" t="s">
        <v>352</v>
      </c>
      <c r="R21" s="16">
        <v>50</v>
      </c>
      <c r="S21" s="33" t="s">
        <v>441</v>
      </c>
      <c r="T21" s="16"/>
      <c r="U21" s="16">
        <v>4320</v>
      </c>
      <c r="V21" s="16"/>
      <c r="W21" s="16">
        <v>120960</v>
      </c>
      <c r="X21" s="17">
        <v>500.06200000000001</v>
      </c>
      <c r="Y21" s="16" t="s">
        <v>329</v>
      </c>
      <c r="Z21" s="16"/>
      <c r="AA21" s="16"/>
      <c r="AB21" s="16">
        <v>1</v>
      </c>
      <c r="AC21" s="16" t="s">
        <v>314</v>
      </c>
      <c r="AD21" s="16" t="s">
        <v>315</v>
      </c>
      <c r="AE21" s="16" t="s">
        <v>316</v>
      </c>
      <c r="AF21" s="18"/>
      <c r="AG21">
        <v>47.7</v>
      </c>
      <c r="AH21">
        <v>300</v>
      </c>
      <c r="AI21">
        <v>16.899999999999999</v>
      </c>
    </row>
    <row r="22" spans="1:35" x14ac:dyDescent="0.25">
      <c r="A22" t="s">
        <v>419</v>
      </c>
      <c r="D22" s="4" t="s">
        <v>131</v>
      </c>
      <c r="E22" t="s">
        <v>22</v>
      </c>
      <c r="F22" t="s">
        <v>23</v>
      </c>
      <c r="G22" t="s">
        <v>43</v>
      </c>
      <c r="H22" t="s">
        <v>44</v>
      </c>
      <c r="I22" s="5">
        <v>1302344</v>
      </c>
      <c r="J22" s="5">
        <v>5047191</v>
      </c>
      <c r="K22" s="2">
        <v>50051</v>
      </c>
      <c r="L22" t="s">
        <v>28</v>
      </c>
      <c r="M22" t="s">
        <v>129</v>
      </c>
      <c r="N22">
        <v>1302344</v>
      </c>
      <c r="O22">
        <v>5047191</v>
      </c>
      <c r="P22" s="15"/>
      <c r="Q22" s="16" t="s">
        <v>353</v>
      </c>
      <c r="R22" s="16">
        <v>58</v>
      </c>
      <c r="S22" s="33" t="s">
        <v>442</v>
      </c>
      <c r="T22" s="16"/>
      <c r="U22" s="16">
        <v>5011</v>
      </c>
      <c r="V22" s="16"/>
      <c r="W22" s="16">
        <v>155341</v>
      </c>
      <c r="X22" s="17">
        <v>660450</v>
      </c>
      <c r="Y22" s="16" t="s">
        <v>329</v>
      </c>
      <c r="Z22" s="16"/>
      <c r="AA22" s="16"/>
      <c r="AB22" s="16">
        <v>1</v>
      </c>
      <c r="AC22" s="16" t="s">
        <v>314</v>
      </c>
      <c r="AD22" s="16" t="s">
        <v>315</v>
      </c>
      <c r="AE22" s="16" t="s">
        <v>316</v>
      </c>
      <c r="AF22" s="18"/>
      <c r="AG22">
        <v>52.3</v>
      </c>
      <c r="AH22">
        <v>300</v>
      </c>
      <c r="AI22">
        <v>20.100000000000001</v>
      </c>
    </row>
    <row r="23" spans="1:35" x14ac:dyDescent="0.25">
      <c r="A23" t="s">
        <v>400</v>
      </c>
      <c r="D23" s="4" t="s">
        <v>143</v>
      </c>
      <c r="E23" t="s">
        <v>22</v>
      </c>
      <c r="F23" t="s">
        <v>23</v>
      </c>
      <c r="G23" t="s">
        <v>145</v>
      </c>
      <c r="H23" t="s">
        <v>318</v>
      </c>
      <c r="I23" s="5">
        <v>1307841</v>
      </c>
      <c r="J23" s="5">
        <v>5042982</v>
      </c>
      <c r="K23" s="2">
        <v>46711</v>
      </c>
      <c r="L23" t="s">
        <v>28</v>
      </c>
      <c r="M23" t="s">
        <v>148</v>
      </c>
      <c r="N23">
        <v>1307841</v>
      </c>
      <c r="O23">
        <v>5042982</v>
      </c>
      <c r="P23" s="11" t="s">
        <v>143</v>
      </c>
      <c r="Q23" s="12" t="s">
        <v>319</v>
      </c>
      <c r="R23" s="12"/>
      <c r="S23" s="12"/>
      <c r="T23" s="12"/>
      <c r="U23" s="12"/>
      <c r="V23" s="12"/>
      <c r="W23" s="12"/>
      <c r="X23" s="13"/>
      <c r="Y23" s="12" t="s">
        <v>313</v>
      </c>
      <c r="Z23" s="12" t="s">
        <v>23</v>
      </c>
      <c r="AA23" s="12" t="s">
        <v>143</v>
      </c>
      <c r="AB23" s="12">
        <v>1</v>
      </c>
      <c r="AC23" s="12" t="s">
        <v>314</v>
      </c>
      <c r="AD23" s="12" t="s">
        <v>315</v>
      </c>
      <c r="AE23" s="12" t="s">
        <v>316</v>
      </c>
      <c r="AF23" s="14" t="s">
        <v>317</v>
      </c>
      <c r="AG23">
        <v>68.599999999999994</v>
      </c>
      <c r="AI23">
        <v>31.6</v>
      </c>
    </row>
    <row r="24" spans="1:35" x14ac:dyDescent="0.25">
      <c r="A24" t="s">
        <v>420</v>
      </c>
      <c r="D24" s="4" t="s">
        <v>150</v>
      </c>
      <c r="E24" t="s">
        <v>22</v>
      </c>
      <c r="F24" t="s">
        <v>23</v>
      </c>
      <c r="G24" t="s">
        <v>152</v>
      </c>
      <c r="H24" t="s">
        <v>153</v>
      </c>
      <c r="I24" s="5">
        <v>1305944</v>
      </c>
      <c r="J24" s="5">
        <v>5050908</v>
      </c>
      <c r="K24" s="2">
        <v>52135</v>
      </c>
      <c r="L24" t="s">
        <v>28</v>
      </c>
      <c r="M24" t="s">
        <v>155</v>
      </c>
      <c r="N24">
        <v>1305944</v>
      </c>
      <c r="O24">
        <v>5050908</v>
      </c>
      <c r="P24" s="15"/>
      <c r="Q24" s="16" t="s">
        <v>354</v>
      </c>
      <c r="R24" s="16">
        <v>40</v>
      </c>
      <c r="S24" s="33"/>
      <c r="T24" s="16"/>
      <c r="U24" s="16">
        <v>3168</v>
      </c>
      <c r="V24" s="16"/>
      <c r="W24" s="16">
        <v>95040</v>
      </c>
      <c r="X24" s="17">
        <v>600000</v>
      </c>
      <c r="Y24" s="16" t="s">
        <v>329</v>
      </c>
      <c r="Z24" s="16"/>
      <c r="AA24" s="16"/>
      <c r="AB24" s="16">
        <v>1</v>
      </c>
      <c r="AC24" s="16" t="s">
        <v>314</v>
      </c>
      <c r="AD24" s="16" t="s">
        <v>315</v>
      </c>
      <c r="AE24" s="16" t="s">
        <v>316</v>
      </c>
      <c r="AF24" s="18"/>
      <c r="AG24">
        <v>32.299999999999997</v>
      </c>
      <c r="AH24">
        <v>200</v>
      </c>
      <c r="AI24">
        <v>16.93</v>
      </c>
    </row>
    <row r="25" spans="1:35" x14ac:dyDescent="0.25">
      <c r="A25" t="s">
        <v>421</v>
      </c>
      <c r="B25" t="s">
        <v>423</v>
      </c>
      <c r="C25" t="s">
        <v>422</v>
      </c>
      <c r="D25" s="4" t="s">
        <v>157</v>
      </c>
      <c r="E25" t="s">
        <v>22</v>
      </c>
      <c r="F25" t="s">
        <v>23</v>
      </c>
      <c r="G25" t="s">
        <v>159</v>
      </c>
      <c r="H25" t="s">
        <v>160</v>
      </c>
      <c r="I25" s="5">
        <v>1304136</v>
      </c>
      <c r="J25" s="5">
        <v>5050411</v>
      </c>
      <c r="K25" s="2">
        <v>52011</v>
      </c>
      <c r="L25" t="s">
        <v>28</v>
      </c>
      <c r="M25" t="s">
        <v>161</v>
      </c>
      <c r="N25">
        <v>1304136</v>
      </c>
      <c r="O25">
        <v>5050411</v>
      </c>
      <c r="P25" s="36"/>
      <c r="Q25" s="16" t="s">
        <v>355</v>
      </c>
      <c r="R25" s="16">
        <v>125</v>
      </c>
      <c r="S25" s="33" t="s">
        <v>444</v>
      </c>
      <c r="T25" s="16"/>
      <c r="U25" s="16">
        <v>7976</v>
      </c>
      <c r="V25" s="16"/>
      <c r="W25" s="16"/>
      <c r="X25" s="17">
        <v>796069</v>
      </c>
      <c r="Y25" s="16" t="s">
        <v>329</v>
      </c>
      <c r="Z25" s="16"/>
      <c r="AA25" s="16"/>
      <c r="AB25" s="16">
        <v>3</v>
      </c>
      <c r="AC25" s="16" t="s">
        <v>314</v>
      </c>
      <c r="AD25" s="16" t="s">
        <v>315</v>
      </c>
      <c r="AE25" s="16" t="s">
        <v>316</v>
      </c>
      <c r="AF25" s="18"/>
      <c r="AG25">
        <v>30</v>
      </c>
      <c r="AH25">
        <v>400</v>
      </c>
      <c r="AI25">
        <v>10.6</v>
      </c>
    </row>
    <row r="26" spans="1:35" x14ac:dyDescent="0.25">
      <c r="A26" t="s">
        <v>424</v>
      </c>
      <c r="D26" s="4" t="s">
        <v>163</v>
      </c>
      <c r="E26" t="s">
        <v>22</v>
      </c>
      <c r="F26" t="s">
        <v>23</v>
      </c>
      <c r="G26" t="s">
        <v>138</v>
      </c>
      <c r="H26" t="s">
        <v>139</v>
      </c>
      <c r="I26" s="5">
        <v>1302512</v>
      </c>
      <c r="J26" s="5">
        <v>5047561</v>
      </c>
      <c r="K26" s="2">
        <v>52288</v>
      </c>
      <c r="L26" t="s">
        <v>28</v>
      </c>
      <c r="M26" t="s">
        <v>166</v>
      </c>
      <c r="N26">
        <v>1302512</v>
      </c>
      <c r="O26">
        <v>5047561</v>
      </c>
      <c r="P26" s="15"/>
      <c r="Q26" s="16" t="s">
        <v>356</v>
      </c>
      <c r="R26" s="16">
        <v>5</v>
      </c>
      <c r="S26" s="33"/>
      <c r="T26" s="16"/>
      <c r="U26" s="16">
        <v>78</v>
      </c>
      <c r="V26" s="16"/>
      <c r="W26" s="16">
        <v>2418</v>
      </c>
      <c r="X26" s="17">
        <v>24000</v>
      </c>
      <c r="Y26" s="16" t="s">
        <v>329</v>
      </c>
      <c r="Z26" s="16"/>
      <c r="AA26" s="16"/>
      <c r="AB26" s="16">
        <v>1</v>
      </c>
      <c r="AC26" s="16" t="s">
        <v>314</v>
      </c>
      <c r="AD26" s="16" t="s">
        <v>315</v>
      </c>
      <c r="AE26" s="16" t="s">
        <v>316</v>
      </c>
      <c r="AF26" s="18"/>
      <c r="AG26">
        <v>45</v>
      </c>
      <c r="AH26">
        <v>180</v>
      </c>
    </row>
    <row r="27" spans="1:35" x14ac:dyDescent="0.25">
      <c r="A27" t="s">
        <v>425</v>
      </c>
      <c r="D27" s="4" t="s">
        <v>168</v>
      </c>
      <c r="E27" t="s">
        <v>22</v>
      </c>
      <c r="F27" t="s">
        <v>23</v>
      </c>
      <c r="G27" t="s">
        <v>170</v>
      </c>
      <c r="H27" t="s">
        <v>351</v>
      </c>
      <c r="I27" s="5">
        <v>1304858</v>
      </c>
      <c r="J27" s="5">
        <v>5051941</v>
      </c>
      <c r="K27" s="2">
        <v>54368</v>
      </c>
      <c r="L27" t="s">
        <v>28</v>
      </c>
      <c r="M27" t="s">
        <v>173</v>
      </c>
      <c r="N27">
        <v>1304858</v>
      </c>
      <c r="O27">
        <v>5051941</v>
      </c>
      <c r="P27" s="15"/>
      <c r="Q27" s="36" t="s">
        <v>357</v>
      </c>
      <c r="R27" s="16">
        <v>50</v>
      </c>
      <c r="S27" s="33"/>
      <c r="T27" s="16"/>
      <c r="U27" s="16">
        <v>4320</v>
      </c>
      <c r="V27" s="16"/>
      <c r="W27" s="16">
        <v>116881</v>
      </c>
      <c r="X27" s="17">
        <v>444103</v>
      </c>
      <c r="Y27" s="16" t="s">
        <v>329</v>
      </c>
      <c r="Z27" s="16"/>
      <c r="AA27" s="16"/>
      <c r="AB27" s="16">
        <v>1</v>
      </c>
      <c r="AC27" s="16" t="s">
        <v>314</v>
      </c>
      <c r="AD27" s="16" t="s">
        <v>315</v>
      </c>
      <c r="AE27" s="16" t="s">
        <v>316</v>
      </c>
      <c r="AF27" s="18"/>
      <c r="AG27">
        <v>40.299999999999997</v>
      </c>
      <c r="AH27">
        <v>300</v>
      </c>
      <c r="AI27">
        <v>13.24</v>
      </c>
    </row>
    <row r="28" spans="1:35" x14ac:dyDescent="0.25">
      <c r="A28" t="s">
        <v>431</v>
      </c>
      <c r="D28" s="4" t="s">
        <v>184</v>
      </c>
      <c r="E28" t="s">
        <v>22</v>
      </c>
      <c r="F28" t="s">
        <v>23</v>
      </c>
      <c r="G28" t="s">
        <v>170</v>
      </c>
      <c r="H28" t="s">
        <v>351</v>
      </c>
      <c r="I28" s="5">
        <v>1305137</v>
      </c>
      <c r="J28" s="5">
        <v>5051946</v>
      </c>
      <c r="K28" s="2">
        <v>54368</v>
      </c>
      <c r="L28" t="s">
        <v>28</v>
      </c>
      <c r="M28" t="s">
        <v>173</v>
      </c>
      <c r="N28">
        <v>1305137</v>
      </c>
      <c r="O28">
        <v>5051946</v>
      </c>
      <c r="P28" s="15"/>
      <c r="Q28" s="16" t="s">
        <v>360</v>
      </c>
      <c r="R28" s="16">
        <v>70</v>
      </c>
      <c r="S28" s="33"/>
      <c r="T28" s="16"/>
      <c r="U28" s="16">
        <v>6048</v>
      </c>
      <c r="V28" s="16"/>
      <c r="W28" s="16">
        <v>168194</v>
      </c>
      <c r="X28" s="17">
        <v>601172</v>
      </c>
      <c r="Y28" s="16" t="s">
        <v>329</v>
      </c>
      <c r="Z28" s="16"/>
      <c r="AA28" s="16"/>
      <c r="AB28" s="16">
        <v>1</v>
      </c>
      <c r="AC28" s="16" t="s">
        <v>314</v>
      </c>
      <c r="AD28" s="16" t="s">
        <v>315</v>
      </c>
      <c r="AE28" s="16" t="s">
        <v>316</v>
      </c>
      <c r="AF28" s="18"/>
      <c r="AG28">
        <v>42</v>
      </c>
      <c r="AI28">
        <v>16.899999999999999</v>
      </c>
    </row>
    <row r="29" spans="1:35" x14ac:dyDescent="0.25">
      <c r="A29" t="s">
        <v>429</v>
      </c>
      <c r="D29" s="4" t="s">
        <v>175</v>
      </c>
      <c r="E29" t="s">
        <v>22</v>
      </c>
      <c r="F29" t="s">
        <v>23</v>
      </c>
      <c r="G29" t="s">
        <v>43</v>
      </c>
      <c r="H29" t="s">
        <v>44</v>
      </c>
      <c r="I29" s="5">
        <v>1300403</v>
      </c>
      <c r="J29" s="5">
        <v>5045100</v>
      </c>
      <c r="K29" s="2">
        <v>50645</v>
      </c>
      <c r="L29" t="s">
        <v>28</v>
      </c>
      <c r="M29" t="s">
        <v>177</v>
      </c>
      <c r="N29">
        <v>1300403</v>
      </c>
      <c r="O29">
        <v>5045100</v>
      </c>
      <c r="P29" s="15"/>
      <c r="Q29" s="16" t="s">
        <v>358</v>
      </c>
      <c r="R29" s="16">
        <v>100</v>
      </c>
      <c r="S29" s="33" t="s">
        <v>446</v>
      </c>
      <c r="T29" s="16"/>
      <c r="U29" s="16">
        <v>8640</v>
      </c>
      <c r="V29" s="16"/>
      <c r="W29" s="16">
        <v>267840</v>
      </c>
      <c r="X29" s="17">
        <v>1272600</v>
      </c>
      <c r="Y29" s="16" t="s">
        <v>329</v>
      </c>
      <c r="Z29" s="16"/>
      <c r="AA29" s="16"/>
      <c r="AB29" s="16">
        <v>1</v>
      </c>
      <c r="AC29" s="16" t="s">
        <v>314</v>
      </c>
      <c r="AD29" s="16" t="s">
        <v>315</v>
      </c>
      <c r="AE29" s="16" t="s">
        <v>316</v>
      </c>
      <c r="AF29" s="18"/>
      <c r="AG29">
        <v>47.9</v>
      </c>
      <c r="AH29">
        <v>400</v>
      </c>
      <c r="AI29">
        <v>17.77</v>
      </c>
    </row>
    <row r="30" spans="1:35" x14ac:dyDescent="0.25">
      <c r="A30" t="s">
        <v>430</v>
      </c>
      <c r="D30" s="4" t="s">
        <v>179</v>
      </c>
      <c r="E30" t="s">
        <v>22</v>
      </c>
      <c r="F30" t="s">
        <v>23</v>
      </c>
      <c r="G30" t="s">
        <v>43</v>
      </c>
      <c r="H30" t="s">
        <v>44</v>
      </c>
      <c r="I30" s="5">
        <v>1302060</v>
      </c>
      <c r="J30" s="5">
        <v>5047093</v>
      </c>
      <c r="K30" s="2">
        <v>50757</v>
      </c>
      <c r="L30" t="s">
        <v>28</v>
      </c>
      <c r="M30" t="s">
        <v>182</v>
      </c>
      <c r="N30">
        <v>1302060</v>
      </c>
      <c r="O30">
        <v>5047093</v>
      </c>
      <c r="P30" s="15"/>
      <c r="Q30" s="16" t="s">
        <v>359</v>
      </c>
      <c r="R30" s="16">
        <v>100</v>
      </c>
      <c r="S30" s="33" t="s">
        <v>445</v>
      </c>
      <c r="T30" s="16"/>
      <c r="U30" s="16"/>
      <c r="V30" s="16"/>
      <c r="W30" s="16">
        <v>267840</v>
      </c>
      <c r="X30" s="17">
        <v>1272600</v>
      </c>
      <c r="Y30" s="16" t="s">
        <v>329</v>
      </c>
      <c r="Z30" s="16"/>
      <c r="AA30" s="16"/>
      <c r="AB30" s="16">
        <v>1</v>
      </c>
      <c r="AC30" s="16" t="s">
        <v>314</v>
      </c>
      <c r="AD30" s="16" t="s">
        <v>315</v>
      </c>
      <c r="AE30" s="16" t="s">
        <v>316</v>
      </c>
      <c r="AF30" s="18"/>
      <c r="AG30">
        <v>45.08</v>
      </c>
      <c r="AH30">
        <v>400</v>
      </c>
      <c r="AI30">
        <v>12.29</v>
      </c>
    </row>
    <row r="31" spans="1:35" x14ac:dyDescent="0.25">
      <c r="A31" t="s">
        <v>432</v>
      </c>
      <c r="B31" t="s">
        <v>433</v>
      </c>
      <c r="C31" t="s">
        <v>434</v>
      </c>
      <c r="D31" s="4" t="s">
        <v>188</v>
      </c>
      <c r="E31" t="s">
        <v>22</v>
      </c>
      <c r="F31" t="s">
        <v>23</v>
      </c>
      <c r="G31" t="s">
        <v>43</v>
      </c>
      <c r="H31" t="s">
        <v>44</v>
      </c>
      <c r="I31" s="5">
        <v>1302380</v>
      </c>
      <c r="J31" s="5">
        <v>5048050</v>
      </c>
      <c r="K31" s="2">
        <v>50861</v>
      </c>
      <c r="L31" t="s">
        <v>28</v>
      </c>
      <c r="M31" t="s">
        <v>191</v>
      </c>
      <c r="N31">
        <v>1302380</v>
      </c>
      <c r="O31">
        <v>5048050</v>
      </c>
      <c r="P31" s="15"/>
      <c r="Q31" s="16" t="s">
        <v>361</v>
      </c>
      <c r="R31" s="16">
        <v>358</v>
      </c>
      <c r="S31" s="33" t="s">
        <v>447</v>
      </c>
      <c r="T31" s="16"/>
      <c r="U31" s="16">
        <v>39600</v>
      </c>
      <c r="V31" s="16"/>
      <c r="W31" s="16">
        <v>823437</v>
      </c>
      <c r="X31" s="17">
        <v>3373875</v>
      </c>
      <c r="Y31" s="16" t="s">
        <v>329</v>
      </c>
      <c r="Z31" s="16"/>
      <c r="AA31" s="16"/>
      <c r="AB31" s="16">
        <v>4</v>
      </c>
      <c r="AC31" s="16" t="s">
        <v>314</v>
      </c>
      <c r="AD31" s="16" t="s">
        <v>315</v>
      </c>
      <c r="AE31" s="16" t="s">
        <v>316</v>
      </c>
      <c r="AF31" s="18"/>
      <c r="AG31" t="s">
        <v>362</v>
      </c>
      <c r="AH31" t="s">
        <v>362</v>
      </c>
      <c r="AI31" t="s">
        <v>362</v>
      </c>
    </row>
    <row r="32" spans="1:35" x14ac:dyDescent="0.25">
      <c r="A32" t="s">
        <v>435</v>
      </c>
      <c r="D32" s="4" t="s">
        <v>200</v>
      </c>
      <c r="E32" t="s">
        <v>22</v>
      </c>
      <c r="F32" t="s">
        <v>23</v>
      </c>
      <c r="G32" t="s">
        <v>202</v>
      </c>
      <c r="H32" t="s">
        <v>203</v>
      </c>
      <c r="I32" s="5">
        <v>1298816</v>
      </c>
      <c r="J32" s="5">
        <v>5050048</v>
      </c>
      <c r="K32" s="2">
        <v>55001</v>
      </c>
      <c r="L32" t="s">
        <v>28</v>
      </c>
      <c r="M32" t="s">
        <v>205</v>
      </c>
      <c r="N32">
        <v>1298816</v>
      </c>
      <c r="O32">
        <v>5050048</v>
      </c>
      <c r="P32" s="15"/>
      <c r="Q32" s="16" t="s">
        <v>363</v>
      </c>
      <c r="R32" s="16">
        <v>10.9</v>
      </c>
      <c r="S32" s="34"/>
      <c r="T32" s="16"/>
      <c r="U32" s="16"/>
      <c r="V32" s="16"/>
      <c r="W32" s="16">
        <v>40180</v>
      </c>
      <c r="X32" s="17">
        <v>170765</v>
      </c>
      <c r="Y32" s="16" t="s">
        <v>364</v>
      </c>
      <c r="Z32" s="16"/>
      <c r="AA32" s="16"/>
      <c r="AB32" s="16">
        <v>2</v>
      </c>
      <c r="AC32" s="16" t="s">
        <v>314</v>
      </c>
      <c r="AD32" s="16" t="s">
        <v>315</v>
      </c>
      <c r="AE32" s="16" t="s">
        <v>316</v>
      </c>
      <c r="AF32" s="18"/>
      <c r="AG32">
        <v>20</v>
      </c>
    </row>
    <row r="33" spans="1:35" x14ac:dyDescent="0.25">
      <c r="A33" t="s">
        <v>437</v>
      </c>
      <c r="B33" t="s">
        <v>438</v>
      </c>
      <c r="D33" s="4" t="s">
        <v>366</v>
      </c>
      <c r="E33" t="s">
        <v>22</v>
      </c>
      <c r="F33" t="s">
        <v>23</v>
      </c>
      <c r="G33" t="s">
        <v>367</v>
      </c>
      <c r="H33" t="s">
        <v>368</v>
      </c>
      <c r="I33" s="5">
        <v>1308623</v>
      </c>
      <c r="J33" s="5">
        <v>5038851</v>
      </c>
      <c r="K33" s="2">
        <v>52604</v>
      </c>
      <c r="L33" t="s">
        <v>28</v>
      </c>
      <c r="M33" t="s">
        <v>369</v>
      </c>
      <c r="N33">
        <v>1308623</v>
      </c>
      <c r="O33">
        <v>5038851</v>
      </c>
      <c r="P33" s="15"/>
      <c r="Q33" s="24" t="s">
        <v>372</v>
      </c>
      <c r="R33" s="16">
        <v>132</v>
      </c>
      <c r="S33" s="34"/>
      <c r="T33" s="16"/>
      <c r="U33" s="16"/>
      <c r="V33" s="16"/>
      <c r="W33" s="16">
        <v>318050</v>
      </c>
      <c r="X33" s="17">
        <v>1288450</v>
      </c>
      <c r="Y33" s="16" t="s">
        <v>373</v>
      </c>
      <c r="Z33" s="16"/>
      <c r="AA33" s="16"/>
      <c r="AB33" s="16">
        <v>1</v>
      </c>
      <c r="AC33" s="16" t="s">
        <v>314</v>
      </c>
      <c r="AD33" s="16" t="s">
        <v>315</v>
      </c>
      <c r="AE33" s="16" t="s">
        <v>316</v>
      </c>
      <c r="AF33" s="18"/>
      <c r="AG33">
        <v>23</v>
      </c>
      <c r="AH33">
        <v>400</v>
      </c>
      <c r="AI33">
        <v>5</v>
      </c>
    </row>
    <row r="34" spans="1:35" x14ac:dyDescent="0.25">
      <c r="A34" t="s">
        <v>401</v>
      </c>
      <c r="D34" s="4" t="s">
        <v>207</v>
      </c>
      <c r="E34" t="s">
        <v>22</v>
      </c>
      <c r="F34" t="s">
        <v>23</v>
      </c>
      <c r="G34" t="s">
        <v>43</v>
      </c>
      <c r="H34" t="s">
        <v>44</v>
      </c>
      <c r="I34" s="5">
        <v>1303935</v>
      </c>
      <c r="J34" s="5">
        <v>5043021</v>
      </c>
      <c r="K34" s="2">
        <v>51349</v>
      </c>
      <c r="L34" t="s">
        <v>28</v>
      </c>
      <c r="M34" t="s">
        <v>210</v>
      </c>
      <c r="N34">
        <v>1303935</v>
      </c>
      <c r="O34">
        <v>5043021</v>
      </c>
      <c r="P34" s="15" t="s">
        <v>207</v>
      </c>
      <c r="Q34" s="16" t="s">
        <v>320</v>
      </c>
      <c r="R34" s="16">
        <v>120</v>
      </c>
      <c r="S34" s="34"/>
      <c r="T34" s="16"/>
      <c r="U34" s="16">
        <v>10368</v>
      </c>
      <c r="V34" s="16"/>
      <c r="W34" s="16">
        <v>321408</v>
      </c>
      <c r="X34" s="17">
        <v>1212750</v>
      </c>
      <c r="Y34" s="16" t="s">
        <v>321</v>
      </c>
      <c r="Z34" s="16" t="s">
        <v>23</v>
      </c>
      <c r="AA34" s="16" t="s">
        <v>207</v>
      </c>
      <c r="AB34" s="16">
        <v>2</v>
      </c>
      <c r="AC34" s="16" t="s">
        <v>314</v>
      </c>
      <c r="AD34" s="16" t="s">
        <v>315</v>
      </c>
      <c r="AE34" s="16" t="s">
        <v>316</v>
      </c>
      <c r="AF34" s="18" t="s">
        <v>317</v>
      </c>
      <c r="AG34">
        <v>19.53</v>
      </c>
      <c r="AI34">
        <v>9.18</v>
      </c>
    </row>
    <row r="35" spans="1:35" x14ac:dyDescent="0.25">
      <c r="A35" t="s">
        <v>402</v>
      </c>
      <c r="D35" s="4" t="s">
        <v>207</v>
      </c>
      <c r="E35" t="s">
        <v>22</v>
      </c>
      <c r="F35" t="s">
        <v>23</v>
      </c>
      <c r="G35" t="s">
        <v>43</v>
      </c>
      <c r="H35" t="s">
        <v>44</v>
      </c>
      <c r="I35" s="5">
        <v>1303935</v>
      </c>
      <c r="J35" s="5">
        <v>5043021</v>
      </c>
      <c r="K35" s="2">
        <v>51349</v>
      </c>
      <c r="L35" t="s">
        <v>28</v>
      </c>
      <c r="M35" t="s">
        <v>210</v>
      </c>
      <c r="N35">
        <v>1303935</v>
      </c>
      <c r="O35">
        <v>5043021</v>
      </c>
      <c r="P35" s="11" t="s">
        <v>207</v>
      </c>
      <c r="Q35" s="37" t="s">
        <v>322</v>
      </c>
      <c r="R35" s="12">
        <v>120</v>
      </c>
      <c r="S35" s="12" t="s">
        <v>448</v>
      </c>
      <c r="T35" s="12"/>
      <c r="U35" s="12">
        <v>10368</v>
      </c>
      <c r="V35" s="12"/>
      <c r="W35" s="12">
        <v>321408</v>
      </c>
      <c r="X35" s="13">
        <v>1212750</v>
      </c>
      <c r="Y35" s="12" t="s">
        <v>321</v>
      </c>
      <c r="Z35" s="12" t="s">
        <v>23</v>
      </c>
      <c r="AA35" s="12" t="s">
        <v>207</v>
      </c>
      <c r="AB35" s="12">
        <v>2</v>
      </c>
      <c r="AC35" s="12" t="s">
        <v>314</v>
      </c>
      <c r="AD35" s="12" t="s">
        <v>315</v>
      </c>
      <c r="AE35" s="12" t="s">
        <v>316</v>
      </c>
      <c r="AF35" s="14" t="s">
        <v>317</v>
      </c>
      <c r="AG35">
        <v>23.71</v>
      </c>
      <c r="AI35">
        <v>8.41</v>
      </c>
    </row>
    <row r="36" spans="1:35" x14ac:dyDescent="0.25">
      <c r="A36" t="s">
        <v>436</v>
      </c>
      <c r="D36" s="4" t="s">
        <v>365</v>
      </c>
      <c r="E36" t="s">
        <v>22</v>
      </c>
      <c r="F36" t="s">
        <v>23</v>
      </c>
      <c r="G36" t="s">
        <v>281</v>
      </c>
      <c r="H36" t="s">
        <v>282</v>
      </c>
      <c r="I36" s="5">
        <v>1305950</v>
      </c>
      <c r="J36" s="5">
        <v>5050705</v>
      </c>
      <c r="K36" s="2">
        <v>44501</v>
      </c>
      <c r="L36" t="s">
        <v>28</v>
      </c>
      <c r="M36" t="s">
        <v>173</v>
      </c>
      <c r="N36">
        <v>1305950</v>
      </c>
      <c r="O36">
        <v>5050705</v>
      </c>
      <c r="P36" s="15"/>
      <c r="Q36" s="20" t="s">
        <v>370</v>
      </c>
      <c r="R36" s="16">
        <v>23</v>
      </c>
      <c r="S36" s="34"/>
      <c r="T36" s="16"/>
      <c r="U36" s="16">
        <v>1491</v>
      </c>
      <c r="V36" s="36"/>
      <c r="W36" s="16">
        <v>45475</v>
      </c>
      <c r="X36" s="17">
        <v>200000</v>
      </c>
      <c r="Y36" s="16" t="s">
        <v>329</v>
      </c>
      <c r="Z36" s="16"/>
      <c r="AA36" s="16"/>
      <c r="AB36" s="16" t="s">
        <v>371</v>
      </c>
      <c r="AC36" s="16" t="s">
        <v>314</v>
      </c>
      <c r="AD36" s="16" t="s">
        <v>315</v>
      </c>
      <c r="AE36" s="16" t="s">
        <v>316</v>
      </c>
      <c r="AF36" s="18"/>
    </row>
    <row r="37" spans="1:35" x14ac:dyDescent="0.25">
      <c r="A37" t="s">
        <v>439</v>
      </c>
      <c r="D37" s="4" t="s">
        <v>212</v>
      </c>
      <c r="E37" t="s">
        <v>22</v>
      </c>
      <c r="F37" t="s">
        <v>23</v>
      </c>
      <c r="G37" t="s">
        <v>374</v>
      </c>
      <c r="H37" t="s">
        <v>375</v>
      </c>
      <c r="I37" s="5">
        <v>1304630</v>
      </c>
      <c r="J37" s="5">
        <v>5048790</v>
      </c>
      <c r="K37" s="2">
        <v>51288</v>
      </c>
      <c r="L37" t="s">
        <v>28</v>
      </c>
      <c r="M37" t="s">
        <v>129</v>
      </c>
      <c r="N37">
        <v>1304630</v>
      </c>
      <c r="O37">
        <v>5048790</v>
      </c>
      <c r="P37" s="36"/>
      <c r="Q37" s="36" t="s">
        <v>371</v>
      </c>
      <c r="R37" s="36">
        <v>70</v>
      </c>
      <c r="S37" s="33"/>
      <c r="T37" s="36"/>
      <c r="U37" s="36">
        <v>6480</v>
      </c>
      <c r="W37" s="36">
        <v>170000</v>
      </c>
      <c r="X37" s="38">
        <v>720000</v>
      </c>
      <c r="Y37" s="36" t="s">
        <v>329</v>
      </c>
      <c r="Z37" s="36"/>
      <c r="AA37" s="36"/>
      <c r="AB37" s="36">
        <v>1</v>
      </c>
      <c r="AC37" s="16" t="s">
        <v>314</v>
      </c>
      <c r="AD37" s="16" t="s">
        <v>315</v>
      </c>
      <c r="AE37" s="16" t="s">
        <v>316</v>
      </c>
      <c r="AF37" s="36"/>
    </row>
    <row r="38" spans="1:35" x14ac:dyDescent="0.25">
      <c r="A38" t="s">
        <v>403</v>
      </c>
      <c r="D38" s="4" t="s">
        <v>323</v>
      </c>
      <c r="E38" t="s">
        <v>22</v>
      </c>
      <c r="F38" t="s">
        <v>23</v>
      </c>
      <c r="G38" t="s">
        <v>236</v>
      </c>
      <c r="H38" t="s">
        <v>324</v>
      </c>
      <c r="I38" s="5">
        <v>1306547</v>
      </c>
      <c r="J38" s="5">
        <v>5040018</v>
      </c>
      <c r="K38" s="2">
        <v>53565</v>
      </c>
      <c r="L38" t="s">
        <v>28</v>
      </c>
      <c r="M38" t="s">
        <v>239</v>
      </c>
      <c r="N38">
        <v>1306547</v>
      </c>
      <c r="O38">
        <v>5040018</v>
      </c>
      <c r="P38" s="36" t="s">
        <v>323</v>
      </c>
      <c r="Q38" s="36" t="s">
        <v>325</v>
      </c>
      <c r="R38" s="36">
        <v>2.7</v>
      </c>
      <c r="S38" s="33"/>
      <c r="T38" s="36">
        <v>9.6999999999999993</v>
      </c>
      <c r="U38" s="36">
        <v>233</v>
      </c>
      <c r="V38" s="36">
        <v>1631</v>
      </c>
      <c r="W38" s="36">
        <v>7223</v>
      </c>
      <c r="X38" s="38">
        <v>33082</v>
      </c>
      <c r="Y38" s="36" t="s">
        <v>321</v>
      </c>
      <c r="Z38" s="36" t="s">
        <v>23</v>
      </c>
      <c r="AA38" s="36" t="s">
        <v>323</v>
      </c>
      <c r="AB38" s="36">
        <v>1</v>
      </c>
      <c r="AC38" s="16" t="s">
        <v>314</v>
      </c>
      <c r="AD38" s="16" t="s">
        <v>315</v>
      </c>
      <c r="AE38" s="16" t="s">
        <v>316</v>
      </c>
      <c r="AF38" s="36" t="s">
        <v>313</v>
      </c>
      <c r="AG38">
        <v>49.08</v>
      </c>
      <c r="AI38">
        <v>40.64</v>
      </c>
    </row>
    <row r="39" spans="1:35" x14ac:dyDescent="0.25">
      <c r="A39" t="s">
        <v>403</v>
      </c>
      <c r="D39" s="4" t="s">
        <v>248</v>
      </c>
      <c r="E39" t="s">
        <v>22</v>
      </c>
      <c r="F39" t="s">
        <v>23</v>
      </c>
      <c r="G39" t="s">
        <v>251</v>
      </c>
      <c r="H39" t="s">
        <v>252</v>
      </c>
      <c r="I39" s="5">
        <v>1300677</v>
      </c>
      <c r="J39" s="5">
        <v>5047066</v>
      </c>
      <c r="K39" s="2">
        <v>56020</v>
      </c>
      <c r="L39" t="s">
        <v>28</v>
      </c>
      <c r="M39" t="s">
        <v>254</v>
      </c>
      <c r="N39">
        <v>1300677</v>
      </c>
      <c r="O39">
        <v>5047066</v>
      </c>
      <c r="Q39" t="s">
        <v>376</v>
      </c>
      <c r="R39">
        <v>4</v>
      </c>
      <c r="S39" s="34"/>
      <c r="U39">
        <v>250</v>
      </c>
      <c r="V39">
        <v>1750</v>
      </c>
      <c r="W39">
        <v>7756</v>
      </c>
      <c r="X39" s="19">
        <v>33887</v>
      </c>
      <c r="Y39" t="s">
        <v>377</v>
      </c>
      <c r="AB39">
        <v>1</v>
      </c>
      <c r="AC39" s="16" t="s">
        <v>314</v>
      </c>
      <c r="AD39" s="16" t="s">
        <v>315</v>
      </c>
      <c r="AE39" s="16" t="s">
        <v>316</v>
      </c>
      <c r="AG39">
        <v>30.8</v>
      </c>
      <c r="AH39">
        <v>125</v>
      </c>
      <c r="AI39">
        <v>14.36</v>
      </c>
    </row>
    <row r="40" spans="1:35" x14ac:dyDescent="0.25">
      <c r="A40" t="s">
        <v>403</v>
      </c>
      <c r="D40" s="4" t="s">
        <v>262</v>
      </c>
      <c r="E40" t="s">
        <v>22</v>
      </c>
      <c r="F40" t="s">
        <v>23</v>
      </c>
      <c r="G40" t="s">
        <v>265</v>
      </c>
      <c r="H40" t="s">
        <v>266</v>
      </c>
      <c r="I40" s="5">
        <v>1303647</v>
      </c>
      <c r="J40" s="5">
        <v>5048937</v>
      </c>
      <c r="K40" s="2">
        <v>47868</v>
      </c>
      <c r="L40" t="s">
        <v>28</v>
      </c>
      <c r="M40" t="s">
        <v>268</v>
      </c>
      <c r="N40">
        <v>1303647</v>
      </c>
      <c r="O40">
        <v>5048937</v>
      </c>
      <c r="Q40" t="s">
        <v>371</v>
      </c>
      <c r="R40">
        <v>17</v>
      </c>
      <c r="S40" s="33"/>
      <c r="U40">
        <v>1469</v>
      </c>
      <c r="W40">
        <v>36000</v>
      </c>
      <c r="X40" s="19">
        <v>152658</v>
      </c>
      <c r="Y40" t="s">
        <v>329</v>
      </c>
      <c r="AB40">
        <v>1</v>
      </c>
      <c r="AC40" s="16" t="s">
        <v>314</v>
      </c>
      <c r="AD40" s="16" t="s">
        <v>315</v>
      </c>
      <c r="AE40" s="16" t="s">
        <v>316</v>
      </c>
      <c r="AG40" t="s">
        <v>371</v>
      </c>
      <c r="AH40" t="s">
        <v>371</v>
      </c>
      <c r="AI40" t="s">
        <v>371</v>
      </c>
    </row>
    <row r="41" spans="1:35" x14ac:dyDescent="0.25">
      <c r="A41" t="s">
        <v>403</v>
      </c>
      <c r="D41" s="4" t="s">
        <v>270</v>
      </c>
      <c r="E41" t="s">
        <v>22</v>
      </c>
      <c r="F41" t="s">
        <v>23</v>
      </c>
      <c r="G41" t="s">
        <v>273</v>
      </c>
      <c r="H41" t="s">
        <v>378</v>
      </c>
      <c r="I41" s="5">
        <v>1301843</v>
      </c>
      <c r="J41" s="5">
        <v>5047123</v>
      </c>
      <c r="K41" s="2">
        <v>46290</v>
      </c>
      <c r="L41" t="s">
        <v>28</v>
      </c>
      <c r="M41" t="s">
        <v>276</v>
      </c>
      <c r="N41">
        <v>1301843</v>
      </c>
      <c r="O41">
        <v>5047123</v>
      </c>
      <c r="Q41" t="s">
        <v>379</v>
      </c>
      <c r="R41">
        <v>20</v>
      </c>
      <c r="S41" s="34"/>
      <c r="W41">
        <v>32581</v>
      </c>
      <c r="X41" s="19">
        <v>175448</v>
      </c>
      <c r="Y41" t="s">
        <v>377</v>
      </c>
      <c r="AB41">
        <v>1</v>
      </c>
      <c r="AC41" s="16" t="s">
        <v>314</v>
      </c>
      <c r="AD41" s="16" t="s">
        <v>315</v>
      </c>
      <c r="AE41" s="16" t="s">
        <v>316</v>
      </c>
      <c r="AG41">
        <v>34.700000000000003</v>
      </c>
      <c r="AH41">
        <v>200</v>
      </c>
      <c r="AI41">
        <v>18.5</v>
      </c>
    </row>
    <row r="42" spans="1:35" x14ac:dyDescent="0.25">
      <c r="S42" s="33"/>
    </row>
    <row r="43" spans="1:35" x14ac:dyDescent="0.25">
      <c r="S43" s="33"/>
    </row>
    <row r="44" spans="1:35" x14ac:dyDescent="0.25">
      <c r="S44" s="33"/>
    </row>
    <row r="45" spans="1:35" x14ac:dyDescent="0.25">
      <c r="S45" s="33"/>
    </row>
    <row r="46" spans="1:35" x14ac:dyDescent="0.25">
      <c r="S46" s="33"/>
    </row>
    <row r="47" spans="1:35" x14ac:dyDescent="0.25">
      <c r="S47" s="33"/>
    </row>
    <row r="48" spans="1:35" x14ac:dyDescent="0.25">
      <c r="S48" s="33"/>
    </row>
    <row r="49" spans="19:19" x14ac:dyDescent="0.25">
      <c r="S49" s="33"/>
    </row>
    <row r="50" spans="19:19" x14ac:dyDescent="0.25">
      <c r="S50" s="33"/>
    </row>
    <row r="51" spans="19:19" x14ac:dyDescent="0.25">
      <c r="S51" s="33"/>
    </row>
    <row r="52" spans="19:19" x14ac:dyDescent="0.25">
      <c r="S52" s="33"/>
    </row>
    <row r="53" spans="19:19" x14ac:dyDescent="0.25">
      <c r="S53" s="33"/>
    </row>
    <row r="54" spans="19:19" x14ac:dyDescent="0.25">
      <c r="S54" s="33"/>
    </row>
    <row r="55" spans="19:19" x14ac:dyDescent="0.25">
      <c r="S55" s="33"/>
    </row>
    <row r="56" spans="19:19" x14ac:dyDescent="0.25">
      <c r="S56" s="33"/>
    </row>
    <row r="57" spans="19:19" x14ac:dyDescent="0.25">
      <c r="S57" s="33"/>
    </row>
    <row r="58" spans="19:19" x14ac:dyDescent="0.25">
      <c r="S58" s="33"/>
    </row>
    <row r="59" spans="19:19" x14ac:dyDescent="0.25">
      <c r="S59" s="33"/>
    </row>
    <row r="60" spans="19:19" x14ac:dyDescent="0.25">
      <c r="S60" s="33"/>
    </row>
    <row r="61" spans="19:19" x14ac:dyDescent="0.25">
      <c r="S61" s="33"/>
    </row>
    <row r="62" spans="19:19" x14ac:dyDescent="0.25">
      <c r="S62" s="33"/>
    </row>
    <row r="63" spans="19:19" x14ac:dyDescent="0.25">
      <c r="S63" s="33"/>
    </row>
    <row r="64" spans="19:19" x14ac:dyDescent="0.25">
      <c r="S64" s="33"/>
    </row>
    <row r="65" spans="19:19" x14ac:dyDescent="0.25">
      <c r="S65" s="33"/>
    </row>
    <row r="66" spans="19:19" x14ac:dyDescent="0.25">
      <c r="S66" s="33"/>
    </row>
    <row r="67" spans="19:19" x14ac:dyDescent="0.25">
      <c r="S67" s="33"/>
    </row>
    <row r="68" spans="19:19" x14ac:dyDescent="0.25">
      <c r="S68" s="34"/>
    </row>
    <row r="69" spans="19:19" x14ac:dyDescent="0.25">
      <c r="S69" s="33"/>
    </row>
    <row r="70" spans="19:19" x14ac:dyDescent="0.25">
      <c r="S70" s="33"/>
    </row>
    <row r="71" spans="19:19" x14ac:dyDescent="0.25">
      <c r="S71" s="34"/>
    </row>
    <row r="72" spans="19:19" x14ac:dyDescent="0.25">
      <c r="S72" s="33"/>
    </row>
    <row r="73" spans="19:19" x14ac:dyDescent="0.25">
      <c r="S73" s="33"/>
    </row>
    <row r="74" spans="19:19" x14ac:dyDescent="0.25">
      <c r="S74" s="33"/>
    </row>
    <row r="75" spans="19:19" x14ac:dyDescent="0.25">
      <c r="S75" s="33"/>
    </row>
    <row r="76" spans="19:19" x14ac:dyDescent="0.25">
      <c r="S76" s="33"/>
    </row>
    <row r="77" spans="19:19" x14ac:dyDescent="0.25">
      <c r="S77" s="33"/>
    </row>
    <row r="78" spans="19:19" x14ac:dyDescent="0.25">
      <c r="S78" s="34"/>
    </row>
    <row r="79" spans="19:19" x14ac:dyDescent="0.25">
      <c r="S79" s="33"/>
    </row>
    <row r="80" spans="19:19" x14ac:dyDescent="0.25">
      <c r="S80" s="33"/>
    </row>
    <row r="81" spans="19:19" x14ac:dyDescent="0.25">
      <c r="S81" s="34"/>
    </row>
    <row r="82" spans="19:19" x14ac:dyDescent="0.25">
      <c r="S82" s="3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 from Otago Maps</vt:lpstr>
      <vt:lpstr>Amalgated take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Rekker</dc:creator>
  <cp:lastModifiedBy>JHRek</cp:lastModifiedBy>
  <dcterms:created xsi:type="dcterms:W3CDTF">2022-03-15T20:39:25Z</dcterms:created>
  <dcterms:modified xsi:type="dcterms:W3CDTF">2022-09-06T04:03:52Z</dcterms:modified>
</cp:coreProperties>
</file>