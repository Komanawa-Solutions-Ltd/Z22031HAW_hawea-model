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4"/>
  </bookViews>
  <sheets>
    <sheet name="Measuring Points" sheetId="4" r:id="rId1"/>
    <sheet name="Final" sheetId="1" r:id="rId2"/>
    <sheet name="Sheet3" sheetId="3" r:id="rId3"/>
    <sheet name="Ross" sheetId="2" r:id="rId4"/>
    <sheet name="Appendix Table" sheetId="5" r:id="rId5"/>
  </sheets>
  <calcPr calcId="125725"/>
</workbook>
</file>

<file path=xl/calcChain.xml><?xml version="1.0" encoding="utf-8"?>
<calcChain xmlns="http://schemas.openxmlformats.org/spreadsheetml/2006/main">
  <c r="F3" i="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2"/>
</calcChain>
</file>

<file path=xl/sharedStrings.xml><?xml version="1.0" encoding="utf-8"?>
<sst xmlns="http://schemas.openxmlformats.org/spreadsheetml/2006/main" count="1025" uniqueCount="425">
  <si>
    <t xml:space="preserve">Bore </t>
  </si>
  <si>
    <t>E</t>
  </si>
  <si>
    <t>N</t>
  </si>
  <si>
    <t>SWL</t>
  </si>
  <si>
    <t>MP</t>
  </si>
  <si>
    <t>Water Depth</t>
  </si>
  <si>
    <t>G40/0257</t>
  </si>
  <si>
    <t>G40/0249</t>
  </si>
  <si>
    <t>Prod 2 (Silos)</t>
  </si>
  <si>
    <t>G40/0226</t>
  </si>
  <si>
    <t>G40/0294</t>
  </si>
  <si>
    <t>G40/0041</t>
  </si>
  <si>
    <t>G40/0163</t>
  </si>
  <si>
    <t>G40/0009</t>
  </si>
  <si>
    <t>G40/0169</t>
  </si>
  <si>
    <t>G40/0250</t>
  </si>
  <si>
    <t>G40/0261</t>
  </si>
  <si>
    <t>Allison</t>
  </si>
  <si>
    <t>Riverside</t>
  </si>
  <si>
    <t xml:space="preserve">Berben </t>
  </si>
  <si>
    <t>Golf Course</t>
  </si>
  <si>
    <t>Name</t>
  </si>
  <si>
    <t>Kindy</t>
  </si>
  <si>
    <t>Live Wire</t>
  </si>
  <si>
    <t>QLDC</t>
  </si>
  <si>
    <t>G40/0198</t>
  </si>
  <si>
    <t>G40/0276</t>
  </si>
  <si>
    <t>Michael Coll</t>
  </si>
  <si>
    <t>Speight</t>
  </si>
  <si>
    <t>Jonathan Bird</t>
  </si>
  <si>
    <t>Kim Landrith</t>
  </si>
  <si>
    <t>G40/0274</t>
  </si>
  <si>
    <t>Maungawera</t>
  </si>
  <si>
    <t>SWL from log</t>
  </si>
  <si>
    <t>G40/0138</t>
  </si>
  <si>
    <t>G40/0230</t>
  </si>
  <si>
    <t>ECNZ 14</t>
  </si>
  <si>
    <t>ECNZ 17</t>
  </si>
  <si>
    <t>Well_No</t>
  </si>
  <si>
    <t>E (NZMG)</t>
  </si>
  <si>
    <t>N (NZMG)</t>
  </si>
  <si>
    <t>Log?</t>
  </si>
  <si>
    <t>Depth_m</t>
  </si>
  <si>
    <t>Diameter_m</t>
  </si>
  <si>
    <t>Elevation_m</t>
  </si>
  <si>
    <t>owner</t>
  </si>
  <si>
    <t>location</t>
  </si>
  <si>
    <t>Use1</t>
  </si>
  <si>
    <t>Use2</t>
  </si>
  <si>
    <t>Use3</t>
  </si>
  <si>
    <t>qualarc</t>
  </si>
  <si>
    <t>Verdict</t>
  </si>
  <si>
    <t>Phone</t>
  </si>
  <si>
    <t>Owner</t>
  </si>
  <si>
    <t>Address</t>
  </si>
  <si>
    <t>Owner Address</t>
  </si>
  <si>
    <t>Note / time/ dip + / - gl</t>
  </si>
  <si>
    <t>G40/0004</t>
  </si>
  <si>
    <t>Y</t>
  </si>
  <si>
    <t>WAST G W</t>
  </si>
  <si>
    <t>DO</t>
  </si>
  <si>
    <t>?</t>
  </si>
  <si>
    <t>Little Hunter Ltd</t>
  </si>
  <si>
    <t>C/O Hunter Valley Station Ltd Private Bag WANAKA   9192</t>
  </si>
  <si>
    <t>SCURR T</t>
  </si>
  <si>
    <t>Phone first to get access</t>
  </si>
  <si>
    <t>443 4276</t>
  </si>
  <si>
    <t>47 KANE ROAD</t>
  </si>
  <si>
    <t>47 Kane Road RD 2 WANAKA   9192</t>
  </si>
  <si>
    <t>G40/0016</t>
  </si>
  <si>
    <t>TIMSFIELD FARM LTD</t>
  </si>
  <si>
    <t>IR</t>
  </si>
  <si>
    <t>IN</t>
  </si>
  <si>
    <t>SC</t>
  </si>
  <si>
    <t>Geraldine</t>
  </si>
  <si>
    <t>John C MacIntyre</t>
  </si>
  <si>
    <t>10 HEWSON CRESCENT</t>
  </si>
  <si>
    <r>
      <t xml:space="preserve">522 Four Peaks Road RD 21 </t>
    </r>
    <r>
      <rPr>
        <i/>
        <sz val="9"/>
        <color theme="1"/>
        <rFont val="Calibri"/>
        <family val="2"/>
        <scheme val="minor"/>
      </rPr>
      <t>GERALDINE</t>
    </r>
  </si>
  <si>
    <t>G40/0019</t>
  </si>
  <si>
    <t>KANE JE AND IB</t>
  </si>
  <si>
    <t>37 DOMAIN ROAD</t>
  </si>
  <si>
    <t>OTA7520864</t>
  </si>
  <si>
    <t>new owners Steve and Fiona Brown; 443 7199</t>
  </si>
  <si>
    <t>F. Urquhart Farmlands Ltd</t>
  </si>
  <si>
    <t>C/O Mr Paul Urquhart 393 Gladstone Road RD 2 WANAKA   9382</t>
  </si>
  <si>
    <t>dip -10.995 @ 1430 20/9. ref 0.48 down</t>
  </si>
  <si>
    <t>G40/0026</t>
  </si>
  <si>
    <t>DR MARY TOLLEY</t>
  </si>
  <si>
    <t>4 DENNISON ROAD</t>
  </si>
  <si>
    <t>Porirua</t>
  </si>
  <si>
    <t>Graeme S Penty</t>
  </si>
  <si>
    <t>4 DENNISTON ROAD</t>
  </si>
  <si>
    <r>
      <t xml:space="preserve">15 Airlie Road Plimmerton </t>
    </r>
    <r>
      <rPr>
        <i/>
        <sz val="9"/>
        <color theme="1"/>
        <rFont val="Calibri"/>
        <family val="2"/>
        <scheme val="minor"/>
      </rPr>
      <t>PORIRUA</t>
    </r>
  </si>
  <si>
    <t>G40/0029</t>
  </si>
  <si>
    <t>TOM ROWLEY</t>
  </si>
  <si>
    <t>22 TIMARU RIVER ROAD</t>
  </si>
  <si>
    <t>ST</t>
  </si>
  <si>
    <t>OTA7520865</t>
  </si>
  <si>
    <t>Lake Hawea Station Ltd</t>
  </si>
  <si>
    <t>22 TIMARU CREEK ROAD</t>
  </si>
  <si>
    <t>22 Timaru Creek Road RD 2 WANAKA   9382</t>
  </si>
  <si>
    <t>G40/0039</t>
  </si>
  <si>
    <t>FITZHARRIS J</t>
  </si>
  <si>
    <t>Hawea back road - not found but may be others ...</t>
  </si>
  <si>
    <t>manager - evan gibson - 4435870; cell 027 583 8021</t>
  </si>
  <si>
    <t>443 6337</t>
  </si>
  <si>
    <t>Peter Nolet</t>
  </si>
  <si>
    <t>456 Hawea Back Road RD 2 WANAKA   9382</t>
  </si>
  <si>
    <t>G40/0054</t>
  </si>
  <si>
    <t>Forest Range Station</t>
  </si>
  <si>
    <t>85 Watkins Rd</t>
  </si>
  <si>
    <t>Arrange to meet Peter to get access - through Watkins Road - no locks</t>
  </si>
  <si>
    <t>Peter Hook 03 443 6772 or 0274 524 868 or Lindsay Milburn</t>
  </si>
  <si>
    <t>Forest Range Ltd</t>
  </si>
  <si>
    <t>85 WATKINS ROAD</t>
  </si>
  <si>
    <r>
      <t xml:space="preserve">P O BOX 9 </t>
    </r>
    <r>
      <rPr>
        <i/>
        <sz val="9"/>
        <color theme="1"/>
        <rFont val="Calibri"/>
        <family val="2"/>
        <scheme val="minor"/>
      </rPr>
      <t>Tarras</t>
    </r>
  </si>
  <si>
    <t>G40/0108</t>
  </si>
  <si>
    <t>ECNZ LTD</t>
  </si>
  <si>
    <t>Ditto</t>
  </si>
  <si>
    <t>ditto</t>
  </si>
  <si>
    <t>G40/0117</t>
  </si>
  <si>
    <t>R Pringle</t>
  </si>
  <si>
    <t>OTA7520861</t>
  </si>
  <si>
    <t>Collett Investments Ltd</t>
  </si>
  <si>
    <t>C/O Dave &amp; Sharon Claire Colle 22 Loach Road RD 2 WANAKA</t>
  </si>
  <si>
    <t>G40/0120</t>
  </si>
  <si>
    <t>WATERS C E</t>
  </si>
  <si>
    <t>OTA7520384</t>
  </si>
  <si>
    <t>Away Wednesday &amp; Thursday this week</t>
  </si>
  <si>
    <t>443 1426</t>
  </si>
  <si>
    <r>
      <t xml:space="preserve">Donald F Urquhart - new owners </t>
    </r>
    <r>
      <rPr>
        <b/>
        <sz val="9"/>
        <color theme="1"/>
        <rFont val="Calibri"/>
        <family val="2"/>
        <scheme val="minor"/>
      </rPr>
      <t>Trevor &amp; Maria Reeves 443 2988</t>
    </r>
  </si>
  <si>
    <t>440 CAMP HILL ROAD</t>
  </si>
  <si>
    <t>440 Camp Hill Road RD 2 WANAKA   9382</t>
  </si>
  <si>
    <t>dip 20/9   -8.33. ref 0.52 below g/l</t>
  </si>
  <si>
    <t>G40/0129</t>
  </si>
  <si>
    <t>MUIR K R</t>
  </si>
  <si>
    <t>OTA7520386</t>
  </si>
  <si>
    <t>-</t>
  </si>
  <si>
    <t>443 1480</t>
  </si>
  <si>
    <t>Kenneth R Muir</t>
  </si>
  <si>
    <t>240 GLADSTONE ROAD</t>
  </si>
  <si>
    <t>240 Gladstone Road RD 2 WANAKA   9382</t>
  </si>
  <si>
    <t>dip -18.475 @ 1410. ref 0.63 below g/l</t>
  </si>
  <si>
    <t>Peters I &amp; D</t>
  </si>
  <si>
    <t>Camphill Rd - Hawea</t>
  </si>
  <si>
    <t>Whangarei</t>
  </si>
  <si>
    <t>Maurice J Petherick</t>
  </si>
  <si>
    <t>172 CAMP HILL ROAD</t>
  </si>
  <si>
    <r>
      <t xml:space="preserve">60 McAuslin Road RD 3 </t>
    </r>
    <r>
      <rPr>
        <i/>
        <sz val="9"/>
        <color theme="1"/>
        <rFont val="Calibri"/>
        <family val="2"/>
        <scheme val="minor"/>
      </rPr>
      <t>WHANGAREI</t>
    </r>
  </si>
  <si>
    <t>G40/0139</t>
  </si>
  <si>
    <t>HUNTER A I &amp; E J</t>
  </si>
  <si>
    <t>OTA7520866</t>
  </si>
  <si>
    <t>443 1631</t>
  </si>
  <si>
    <t>Anna Cook</t>
  </si>
  <si>
    <t>PO Box 247 WANAKA   9343</t>
  </si>
  <si>
    <t>G40/0146</t>
  </si>
  <si>
    <t>Urquhart H</t>
  </si>
  <si>
    <t>Nook Rd - Hawea Flat</t>
  </si>
  <si>
    <t>Fax</t>
  </si>
  <si>
    <t>443 1535?</t>
  </si>
  <si>
    <t>Harris W Urquhart</t>
  </si>
  <si>
    <t>33 NOOK ROAD</t>
  </si>
  <si>
    <t>33 Nook Road RD 2 WANAKA   9382</t>
  </si>
  <si>
    <t>G40/0159</t>
  </si>
  <si>
    <t>Loess Lane Owners Association Inc</t>
  </si>
  <si>
    <t>New Castle Rd - Hawea Flat</t>
  </si>
  <si>
    <t>Loess Lane Owners Assoc</t>
  </si>
  <si>
    <t>Muir Family Trust?</t>
  </si>
  <si>
    <t>Muir Rd</t>
  </si>
  <si>
    <t>443 9266?</t>
  </si>
  <si>
    <t>Michael C Horne</t>
  </si>
  <si>
    <r>
      <t xml:space="preserve">111 Cliffs Road Saint Clair </t>
    </r>
    <r>
      <rPr>
        <i/>
        <sz val="9"/>
        <color theme="1"/>
        <rFont val="Calibri"/>
        <family val="2"/>
        <scheme val="minor"/>
      </rPr>
      <t>DUNEDIN</t>
    </r>
  </si>
  <si>
    <t>K Landreth</t>
  </si>
  <si>
    <t>Adjacent to Small Road at base of terrace, Wanaka</t>
  </si>
  <si>
    <t>443 1065</t>
  </si>
  <si>
    <t>Kimberley Landreth</t>
  </si>
  <si>
    <t>342 KANE ROAD</t>
  </si>
  <si>
    <t>PO Box 725 WANAKA   9343</t>
  </si>
  <si>
    <t>G40/0178</t>
  </si>
  <si>
    <t>Sutherland C</t>
  </si>
  <si>
    <r>
      <t xml:space="preserve">Muir Rd - Hawea - </t>
    </r>
    <r>
      <rPr>
        <b/>
        <sz val="10"/>
        <color rgb="FFFF0000"/>
        <rFont val="Calibri"/>
        <family val="2"/>
        <scheme val="minor"/>
      </rPr>
      <t>E2215400 N5615141 ??</t>
    </r>
  </si>
  <si>
    <t>1st track left after cemetery travelling south on Muir rd., then 1st gate left</t>
  </si>
  <si>
    <t>443 1432</t>
  </si>
  <si>
    <t>Colin &amp; Kirsty Sutherland</t>
  </si>
  <si>
    <r>
      <t xml:space="preserve">PO Box 2158 Wakatipu </t>
    </r>
    <r>
      <rPr>
        <i/>
        <sz val="9"/>
        <color theme="1"/>
        <rFont val="Calibri"/>
        <family val="2"/>
        <scheme val="minor"/>
      </rPr>
      <t>QUEENSTOWN</t>
    </r>
  </si>
  <si>
    <t>dips: 16/9 1400 -33.45 ref 700 below g/l and 20/9 @ 1050 -33.54</t>
  </si>
  <si>
    <t>G40/0182</t>
  </si>
  <si>
    <t>McDonald V</t>
  </si>
  <si>
    <t>Maungawera Corner</t>
  </si>
  <si>
    <t>GI</t>
  </si>
  <si>
    <t>Sean J P Synnott</t>
  </si>
  <si>
    <t>596 LAKE HAWEA-ALBERT TOWN ROAD</t>
  </si>
  <si>
    <t>596 Lake Hawea-Albertown Road RD 2 WANAKA   9382</t>
  </si>
  <si>
    <t>G40/0183</t>
  </si>
  <si>
    <t>J Howarth</t>
  </si>
  <si>
    <t>Hawea Back Road, Hawea Flat</t>
  </si>
  <si>
    <t xml:space="preserve">443 1813 </t>
  </si>
  <si>
    <t>Julian R Haworth</t>
  </si>
  <si>
    <t>245 Hawea Back Road RD 2 WANAKA   9382</t>
  </si>
  <si>
    <t>G40/0196</t>
  </si>
  <si>
    <t>T &amp; A Rowley</t>
  </si>
  <si>
    <t>Lake Hawea Station</t>
  </si>
  <si>
    <r>
      <t>dip stuck but retrieved -</t>
    </r>
    <r>
      <rPr>
        <b/>
        <sz val="12"/>
        <color rgb="FFFF0000"/>
        <rFont val="Calibri"/>
        <family val="2"/>
        <scheme val="minor"/>
      </rPr>
      <t xml:space="preserve"> do not use!!!</t>
    </r>
  </si>
  <si>
    <t>Berben T</t>
  </si>
  <si>
    <t>Te Awa Rd - Hawea</t>
  </si>
  <si>
    <t>TONY J BERBEN</t>
  </si>
  <si>
    <t>161 TE AWA ROAD</t>
  </si>
  <si>
    <t>PO Box 434 WANAKA   9343</t>
  </si>
  <si>
    <t>G40/0203</t>
  </si>
  <si>
    <t>Reid family Trust</t>
  </si>
  <si>
    <t>173 Camphill Rd</t>
  </si>
  <si>
    <t>443 4636</t>
  </si>
  <si>
    <t>Judith H Bleasdale-Reid</t>
  </si>
  <si>
    <t>173 CAMP HILL ROAD</t>
  </si>
  <si>
    <t>173 Camp Hill Road RD 2 WANAKA   9382</t>
  </si>
  <si>
    <t>G40/0208</t>
  </si>
  <si>
    <t>L A Stuart</t>
  </si>
  <si>
    <t>Hawea Back Road approximately 1.2 kilometres from</t>
  </si>
  <si>
    <t>Ledlie Alexander Stuart</t>
  </si>
  <si>
    <t>40 Gladstone Road RD 2 WANAKA   9382</t>
  </si>
  <si>
    <t>Arrange to meet Peter to get access</t>
  </si>
  <si>
    <t>Peter Hook 03 443 6772 or 0274 524 868</t>
  </si>
  <si>
    <t>Shaw G R</t>
  </si>
  <si>
    <t>adjacent to Domain Road approximately 2 kilometres</t>
  </si>
  <si>
    <t>Pump takes up most of the bore so probably can't dip, BUT there is an old bore nearby but phone first to find it</t>
  </si>
  <si>
    <t>443 1005</t>
  </si>
  <si>
    <t>Shaw, Gerald Raymond</t>
  </si>
  <si>
    <t>226 DOMAIN ROAD</t>
  </si>
  <si>
    <t>G40/0253</t>
  </si>
  <si>
    <t>Jones T S Cotter G E</t>
  </si>
  <si>
    <t>Horseshoe Bend Maungwera</t>
  </si>
  <si>
    <t xml:space="preserve">May have to unscrew top, behind the small hut behind house </t>
  </si>
  <si>
    <t>443 7038 or 027 444 1694</t>
  </si>
  <si>
    <r>
      <t xml:space="preserve">Graeme A Findlay </t>
    </r>
    <r>
      <rPr>
        <b/>
        <sz val="9"/>
        <color rgb="FFFF0000"/>
        <rFont val="Calibri"/>
        <family val="2"/>
        <scheme val="minor"/>
      </rPr>
      <t>Phone after to let him know the water level</t>
    </r>
  </si>
  <si>
    <t>598 LAKE HAWEA-ALBERT TOWN ROAD</t>
  </si>
  <si>
    <t>PO Box 319 WANAKA   9383</t>
  </si>
  <si>
    <t>Cnr Butterfield &amp; Camp Hill Rds</t>
  </si>
  <si>
    <t>443 7786?</t>
  </si>
  <si>
    <t>Michael M Coll</t>
  </si>
  <si>
    <t>342 CAMP HILL ROAD</t>
  </si>
  <si>
    <t>P O BOX 14 Lake Hawea     9345</t>
  </si>
  <si>
    <t>dip 20/9 1530 -9.575; ref 0.335 above g/l. Pump running</t>
  </si>
  <si>
    <t>G40/0271</t>
  </si>
  <si>
    <t>TJ &amp; KM Urquhart</t>
  </si>
  <si>
    <t>536 Camphill Road Hawea</t>
  </si>
  <si>
    <t>Thomas J Urquhart</t>
  </si>
  <si>
    <t>536 CAMP HILL ROAD</t>
  </si>
  <si>
    <t>536 Camp Hill Road RD 2 WANAKA   9382</t>
  </si>
  <si>
    <t>522 Four Peaks Road RD 21 GERALDINE</t>
  </si>
  <si>
    <t>15 Airlie Road Plimmerton PORIRUA</t>
  </si>
  <si>
    <t>P O BOX 9 Tarras</t>
  </si>
  <si>
    <t>Donald F Urquhart - new owners Trevor &amp; Maria Reeves 443 2988</t>
  </si>
  <si>
    <t>60 McAuslin Road RD 3 WHANGAREI</t>
  </si>
  <si>
    <t>111 Cliffs Road Saint Clair DUNEDIN</t>
  </si>
  <si>
    <t>Muir Rd - Hawea - E2215400 N5615141 ??</t>
  </si>
  <si>
    <t>PO Box 2158 Wakatipu QUEENSTOWN</t>
  </si>
  <si>
    <t>dip stuck but retrieved - do not use!!!</t>
  </si>
  <si>
    <t>Graeme A Findlay Phone after to let him know the water level</t>
  </si>
  <si>
    <t>Westbank Subdvn</t>
  </si>
  <si>
    <t>Domain Rd</t>
  </si>
  <si>
    <t>E NZTM</t>
  </si>
  <si>
    <t>N NZTM</t>
  </si>
  <si>
    <t>G40/0277</t>
  </si>
  <si>
    <t>Old 12-inch irrigation bore</t>
  </si>
  <si>
    <t>G40/0162</t>
  </si>
  <si>
    <t>Spring E</t>
  </si>
  <si>
    <t>Spring C</t>
  </si>
  <si>
    <t>Spring W</t>
  </si>
  <si>
    <t>Forest Range</t>
  </si>
  <si>
    <t>Forest Range Prod Bore</t>
  </si>
  <si>
    <t>Horne</t>
  </si>
  <si>
    <t>Prod 3 (East)</t>
  </si>
  <si>
    <t>Prod Peizo</t>
  </si>
  <si>
    <t>Lake Hawea</t>
  </si>
  <si>
    <t>Clutha River</t>
  </si>
  <si>
    <t>Hawea River</t>
  </si>
  <si>
    <t>OLD Church - south side Newcastle Road</t>
  </si>
  <si>
    <t>new rudnev panel hut on east side church - new installation. Dipped 16/9  1445</t>
  </si>
  <si>
    <t>Dipped 16/9  1445 -11.595 and 20/9 1445 -11.63; ref 0.14 below g/l</t>
  </si>
  <si>
    <t>subdivision - 1 owner Ross Fields (holiday house) - 027 2218383</t>
  </si>
  <si>
    <t xml:space="preserve">pit beside wooden hut at roadside - down 600mm below g/l </t>
  </si>
  <si>
    <t>dips 16/9 @ 1500  -10.92, and 20/9 @ 1455 -10.955. ref 0.62 below g/l</t>
  </si>
  <si>
    <t>ECNZ (to DOC)</t>
  </si>
  <si>
    <t>Location #2 - through 1st gate</t>
  </si>
  <si>
    <t>caps locked - replace with bolts; Arrange to meet Peter to get access - through Watkins Road - no locks</t>
  </si>
  <si>
    <t>dip 1st piezo -5.86, 2nd -7.43; ref 0.95 aove g/l. Bottoms 8.41 and 40.63 respectively</t>
  </si>
  <si>
    <t>through 2nd gate</t>
  </si>
  <si>
    <t xml:space="preserve">dip 20/9 @ 0845   -7.0 &amp; -12.2; bottoms 8.14 &amp; 12.77 respectively. Ref 0.88 above g/l </t>
  </si>
  <si>
    <t>ALLISON?</t>
  </si>
  <si>
    <t>gladstone road south of Allison</t>
  </si>
  <si>
    <t>G40/0013</t>
  </si>
  <si>
    <t>Ritchie Hewat</t>
  </si>
  <si>
    <t>Nook Road - next east from Urquart</t>
  </si>
  <si>
    <t>dip -20/9 @1145 -21.08. ref 0.1 above g/l</t>
  </si>
  <si>
    <t>DOC?</t>
  </si>
  <si>
    <t>east from Hewat</t>
  </si>
  <si>
    <t>open pipe - DOC reserve</t>
  </si>
  <si>
    <t>??</t>
  </si>
  <si>
    <t>dip -13.90 -bottom - dry</t>
  </si>
  <si>
    <t>QLDC v- near big irrig pond off Domain RD</t>
  </si>
  <si>
    <t>dip 20/9 @ 1020   -15.36; 21.5 deep, ref 0.35 above g/l</t>
  </si>
  <si>
    <t>Lincoln Univ.</t>
  </si>
  <si>
    <t>NE Muir bore - accessed down lane from Hawea back road opp Mt Grand Stn</t>
  </si>
  <si>
    <t xml:space="preserve">evan Gibson - </t>
  </si>
  <si>
    <t>Dip 20/9 1330 -22.08. ref 0.30 above g/l</t>
  </si>
  <si>
    <t>G40/0109</t>
  </si>
  <si>
    <t>G40/0227</t>
  </si>
  <si>
    <t>Old Church</t>
  </si>
  <si>
    <t>G40/0264</t>
  </si>
  <si>
    <t>DEM 270.25</t>
  </si>
  <si>
    <t>Lake1</t>
  </si>
  <si>
    <t>Lake2</t>
  </si>
  <si>
    <t>Lake3</t>
  </si>
  <si>
    <t>Lake4</t>
  </si>
  <si>
    <t>Lake5</t>
  </si>
  <si>
    <t>Lake6</t>
  </si>
  <si>
    <t>Lake7</t>
  </si>
  <si>
    <t>Lake8</t>
  </si>
  <si>
    <t>Lake9</t>
  </si>
  <si>
    <t>Lake10</t>
  </si>
  <si>
    <t>Lake11</t>
  </si>
  <si>
    <t>Lake12</t>
  </si>
  <si>
    <t>Lake13</t>
  </si>
  <si>
    <t>Lake14</t>
  </si>
  <si>
    <t>Lake15</t>
  </si>
  <si>
    <t>Lake16</t>
  </si>
  <si>
    <t>Lake17</t>
  </si>
  <si>
    <t>Lake18</t>
  </si>
  <si>
    <t>Lake19</t>
  </si>
  <si>
    <t>Lake20</t>
  </si>
  <si>
    <t>Lake21</t>
  </si>
  <si>
    <t>Lake22</t>
  </si>
  <si>
    <t>Lake23</t>
  </si>
  <si>
    <t>Lake24</t>
  </si>
  <si>
    <t>Lake25</t>
  </si>
  <si>
    <t>Lake26</t>
  </si>
  <si>
    <t>Lake27</t>
  </si>
  <si>
    <t>Lake28</t>
  </si>
  <si>
    <t>Lake29</t>
  </si>
  <si>
    <t>Lake30</t>
  </si>
  <si>
    <t>Lake31</t>
  </si>
  <si>
    <t>Lake32</t>
  </si>
  <si>
    <t>Lake33</t>
  </si>
  <si>
    <t>Lake34</t>
  </si>
  <si>
    <t>Lake35</t>
  </si>
  <si>
    <t>Lake36</t>
  </si>
  <si>
    <t>Lake37</t>
  </si>
  <si>
    <t>Lake38</t>
  </si>
  <si>
    <t>Lake39</t>
  </si>
  <si>
    <t>Lake40</t>
  </si>
  <si>
    <t>Lake41</t>
  </si>
  <si>
    <t>Lake42</t>
  </si>
  <si>
    <t>Lake43</t>
  </si>
  <si>
    <t>Lake44</t>
  </si>
  <si>
    <t>Lake45</t>
  </si>
  <si>
    <t>Lake46</t>
  </si>
  <si>
    <t>Lake47</t>
  </si>
  <si>
    <t>Lake48</t>
  </si>
  <si>
    <t>Lake49</t>
  </si>
  <si>
    <t>Lake50</t>
  </si>
  <si>
    <t>Hawea1</t>
  </si>
  <si>
    <t>Hawea2</t>
  </si>
  <si>
    <t>Hawea3</t>
  </si>
  <si>
    <t>Hawea4</t>
  </si>
  <si>
    <t>Hawea5</t>
  </si>
  <si>
    <t>Hawea6</t>
  </si>
  <si>
    <t>Hawea7</t>
  </si>
  <si>
    <t>Hawea8</t>
  </si>
  <si>
    <t>Hawea9</t>
  </si>
  <si>
    <t>Hawea10</t>
  </si>
  <si>
    <t>Hawea11</t>
  </si>
  <si>
    <t>Hawea12</t>
  </si>
  <si>
    <t>Hawea13</t>
  </si>
  <si>
    <t>Hawea14</t>
  </si>
  <si>
    <t>Hawea15</t>
  </si>
  <si>
    <t>Hawea16</t>
  </si>
  <si>
    <t>Hawea17</t>
  </si>
  <si>
    <t>Hawea18</t>
  </si>
  <si>
    <t>Hawea19</t>
  </si>
  <si>
    <t>Hawea20</t>
  </si>
  <si>
    <t>Hawea21</t>
  </si>
  <si>
    <t>Hawea22</t>
  </si>
  <si>
    <t>Hawea23</t>
  </si>
  <si>
    <t>Hawea24</t>
  </si>
  <si>
    <t>Hawea25</t>
  </si>
  <si>
    <t>Hawea26</t>
  </si>
  <si>
    <t>Hawea27</t>
  </si>
  <si>
    <t>Hawea28</t>
  </si>
  <si>
    <t>Hawea29</t>
  </si>
  <si>
    <t>Hawea30</t>
  </si>
  <si>
    <t>Hawea31</t>
  </si>
  <si>
    <t>Hawea32</t>
  </si>
  <si>
    <t>Hawea33</t>
  </si>
  <si>
    <t>Hawea34</t>
  </si>
  <si>
    <t>Hawea35</t>
  </si>
  <si>
    <t>Hawea36</t>
  </si>
  <si>
    <t>Clutha1</t>
  </si>
  <si>
    <t>Clutha2</t>
  </si>
  <si>
    <t>WLRL</t>
  </si>
  <si>
    <t>G40/0047</t>
  </si>
  <si>
    <t>G40/0053</t>
  </si>
  <si>
    <t>G40/0156</t>
  </si>
  <si>
    <t>Lysimeter Peizo</t>
  </si>
  <si>
    <t>Farm test bore</t>
  </si>
  <si>
    <t>SWL from log 30/9/11</t>
  </si>
  <si>
    <t>G40/0279</t>
  </si>
  <si>
    <t>Sutherland</t>
  </si>
  <si>
    <t>Spring US</t>
  </si>
  <si>
    <t>Spring Mid</t>
  </si>
  <si>
    <t>Amph Pond</t>
  </si>
  <si>
    <t>Approx</t>
  </si>
  <si>
    <t>G40/0298</t>
  </si>
  <si>
    <t>Wetland</t>
  </si>
  <si>
    <t>Devon test bore</t>
  </si>
  <si>
    <t>Devon Silos</t>
  </si>
  <si>
    <t>Devon East</t>
  </si>
  <si>
    <t>Devon Peizo</t>
  </si>
  <si>
    <t>Static water level</t>
  </si>
  <si>
    <t>Water level elevation</t>
  </si>
  <si>
    <t>Collar level</t>
  </si>
  <si>
    <t>Water depth</t>
  </si>
  <si>
    <t>Easting</t>
  </si>
  <si>
    <t>Northing</t>
  </si>
  <si>
    <t>Site</t>
  </si>
  <si>
    <t>Collar elevation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</si>
</sst>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ill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9" fillId="0" borderId="1" xfId="0" applyFont="1" applyBorder="1"/>
    <xf numFmtId="1" fontId="9" fillId="0" borderId="0" xfId="0" applyNumberFormat="1" applyFont="1" applyBorder="1" applyAlignment="1">
      <alignment horizontal="center"/>
    </xf>
    <xf numFmtId="0" fontId="9" fillId="0" borderId="3" xfId="0" applyFont="1" applyBorder="1"/>
    <xf numFmtId="1" fontId="9" fillId="0" borderId="4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8" fillId="0" borderId="6" xfId="0" applyFont="1" applyBorder="1"/>
    <xf numFmtId="1" fontId="8" fillId="0" borderId="7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workbookViewId="0">
      <pane ySplit="1" topLeftCell="A2" activePane="bottomLeft" state="frozen"/>
      <selection pane="bottomLeft" activeCell="E31" sqref="E31"/>
    </sheetView>
  </sheetViews>
  <sheetFormatPr defaultRowHeight="15"/>
  <cols>
    <col min="1" max="1" width="14" customWidth="1"/>
    <col min="2" max="2" width="9.85546875" style="12" customWidth="1"/>
    <col min="3" max="3" width="11.85546875" style="12" customWidth="1"/>
    <col min="4" max="4" width="10.5703125" style="12" customWidth="1"/>
    <col min="5" max="5" width="11.7109375" style="12" customWidth="1"/>
    <col min="6" max="6" width="12.85546875" style="15" customWidth="1"/>
    <col min="7" max="7" width="8.42578125" style="15" customWidth="1"/>
    <col min="8" max="9" width="11" style="15" customWidth="1"/>
    <col min="10" max="10" width="48" customWidth="1"/>
  </cols>
  <sheetData>
    <row r="1" spans="1:11" s="2" customFormat="1">
      <c r="A1" s="2" t="s">
        <v>0</v>
      </c>
      <c r="B1" s="13" t="s">
        <v>1</v>
      </c>
      <c r="C1" s="13" t="s">
        <v>2</v>
      </c>
      <c r="D1" s="13" t="s">
        <v>260</v>
      </c>
      <c r="E1" s="13" t="s">
        <v>261</v>
      </c>
      <c r="F1" s="22" t="s">
        <v>5</v>
      </c>
      <c r="G1" s="22" t="s">
        <v>4</v>
      </c>
      <c r="H1" s="22" t="s">
        <v>3</v>
      </c>
      <c r="I1" s="22" t="s">
        <v>398</v>
      </c>
      <c r="J1" s="2" t="s">
        <v>21</v>
      </c>
    </row>
    <row r="2" spans="1:11">
      <c r="A2" t="s">
        <v>17</v>
      </c>
      <c r="B2" s="12">
        <v>2215949</v>
      </c>
      <c r="C2" s="12">
        <v>5612424</v>
      </c>
      <c r="D2" s="12">
        <v>1305974</v>
      </c>
      <c r="E2" s="12">
        <v>5050720.4000000004</v>
      </c>
      <c r="F2" s="15">
        <v>14.31</v>
      </c>
      <c r="G2" s="15">
        <v>0.15</v>
      </c>
      <c r="H2" s="15">
        <v>14.16</v>
      </c>
      <c r="I2" s="15">
        <v>326.36699999999996</v>
      </c>
      <c r="J2" t="s">
        <v>263</v>
      </c>
    </row>
    <row r="3" spans="1:11">
      <c r="A3" t="s">
        <v>402</v>
      </c>
      <c r="B3" s="12">
        <v>2212751</v>
      </c>
      <c r="C3" s="12">
        <v>5609456</v>
      </c>
      <c r="D3" s="12">
        <v>1302775.3999999999</v>
      </c>
      <c r="E3" s="12">
        <v>5047748.0999999996</v>
      </c>
      <c r="F3" s="15">
        <v>23.09</v>
      </c>
      <c r="G3" s="15">
        <v>0.19</v>
      </c>
      <c r="H3" s="15">
        <v>22.9</v>
      </c>
      <c r="I3" s="15">
        <v>301.60000000000002</v>
      </c>
      <c r="J3" s="25">
        <v>40643</v>
      </c>
    </row>
    <row r="4" spans="1:11">
      <c r="A4" t="s">
        <v>403</v>
      </c>
      <c r="B4" s="12">
        <v>2210343</v>
      </c>
      <c r="C4" s="12">
        <v>5607445</v>
      </c>
      <c r="D4" s="12">
        <v>1300366.8</v>
      </c>
      <c r="E4" s="12">
        <v>5045734</v>
      </c>
      <c r="F4" s="15">
        <v>21.68</v>
      </c>
      <c r="G4" s="15">
        <v>0</v>
      </c>
      <c r="H4" s="15">
        <v>21.68</v>
      </c>
      <c r="I4" s="15">
        <v>292.12</v>
      </c>
      <c r="J4" t="s">
        <v>404</v>
      </c>
    </row>
    <row r="5" spans="1:11">
      <c r="A5" t="s">
        <v>405</v>
      </c>
      <c r="B5" s="12">
        <v>2216033</v>
      </c>
      <c r="C5" s="12">
        <v>5608645</v>
      </c>
      <c r="D5" s="12">
        <v>1306060.5</v>
      </c>
      <c r="E5" s="12">
        <v>5046938.5999999996</v>
      </c>
      <c r="F5" s="15">
        <v>42.42</v>
      </c>
      <c r="G5" s="15">
        <v>-0.7</v>
      </c>
      <c r="H5" s="15">
        <v>43.120000000000005</v>
      </c>
      <c r="I5" s="15">
        <v>312.48</v>
      </c>
      <c r="J5" s="25">
        <v>40643</v>
      </c>
    </row>
    <row r="6" spans="1:11">
      <c r="A6" t="s">
        <v>406</v>
      </c>
      <c r="B6" s="1">
        <v>2215046</v>
      </c>
      <c r="C6" s="12">
        <v>5608709</v>
      </c>
      <c r="D6" s="12">
        <v>1305072.7</v>
      </c>
      <c r="E6" s="12">
        <v>5047002</v>
      </c>
      <c r="F6" s="15">
        <v>55.87</v>
      </c>
      <c r="G6" s="15">
        <v>0.2</v>
      </c>
      <c r="H6" s="15">
        <v>55.669999999999995</v>
      </c>
      <c r="I6" s="15">
        <v>295.33</v>
      </c>
      <c r="J6" s="25">
        <v>40643</v>
      </c>
    </row>
    <row r="7" spans="1:11">
      <c r="A7" t="s">
        <v>36</v>
      </c>
      <c r="B7" s="12">
        <v>2214082</v>
      </c>
      <c r="C7" s="12">
        <v>5614378</v>
      </c>
      <c r="D7" s="12">
        <v>1304104.3</v>
      </c>
      <c r="E7" s="12">
        <v>5052674.7</v>
      </c>
      <c r="F7" s="15">
        <v>21.02</v>
      </c>
      <c r="G7" s="15">
        <v>0.3</v>
      </c>
      <c r="H7" s="15">
        <v>20.72</v>
      </c>
      <c r="I7" s="15">
        <v>326.29300000000001</v>
      </c>
      <c r="J7" t="s">
        <v>36</v>
      </c>
    </row>
    <row r="8" spans="1:11">
      <c r="A8" t="s">
        <v>37</v>
      </c>
      <c r="B8" s="12">
        <v>2216410</v>
      </c>
      <c r="C8" s="12">
        <v>5614467</v>
      </c>
      <c r="D8" s="12">
        <v>1306434</v>
      </c>
      <c r="E8" s="12">
        <v>5052765.2</v>
      </c>
      <c r="F8" s="15">
        <v>35.96</v>
      </c>
      <c r="G8" s="15">
        <v>0.3</v>
      </c>
      <c r="H8" s="15">
        <v>35.660000000000004</v>
      </c>
      <c r="I8" s="15">
        <v>329.45799999999997</v>
      </c>
      <c r="J8" t="s">
        <v>37</v>
      </c>
    </row>
    <row r="9" spans="1:11">
      <c r="A9" t="s">
        <v>57</v>
      </c>
      <c r="B9" s="12">
        <v>2210200</v>
      </c>
      <c r="C9" s="12">
        <v>5610200</v>
      </c>
      <c r="D9" s="12">
        <v>1300221.8999999999</v>
      </c>
      <c r="E9" s="12">
        <v>5048491.0999999996</v>
      </c>
      <c r="F9" s="1">
        <v>-22.2</v>
      </c>
      <c r="G9" s="15">
        <v>0</v>
      </c>
      <c r="H9" s="1">
        <v>0</v>
      </c>
      <c r="I9" s="1">
        <v>300.17</v>
      </c>
      <c r="J9" t="s">
        <v>33</v>
      </c>
      <c r="K9" s="15"/>
    </row>
    <row r="10" spans="1:11">
      <c r="A10" t="s">
        <v>13</v>
      </c>
      <c r="B10" s="12">
        <v>2215500</v>
      </c>
      <c r="C10" s="12">
        <v>5602400</v>
      </c>
      <c r="D10" s="12">
        <v>1305531.3</v>
      </c>
      <c r="E10" s="12">
        <v>5040688.5</v>
      </c>
      <c r="F10" s="15">
        <v>20.69</v>
      </c>
      <c r="G10" s="15">
        <v>-0.66</v>
      </c>
      <c r="H10" s="15">
        <v>21.35</v>
      </c>
      <c r="I10" s="15">
        <v>253.523</v>
      </c>
      <c r="J10" t="s">
        <v>29</v>
      </c>
    </row>
    <row r="11" spans="1:11">
      <c r="A11" t="s">
        <v>290</v>
      </c>
      <c r="B11" s="12">
        <v>2217981</v>
      </c>
      <c r="C11" s="12">
        <v>5614896</v>
      </c>
      <c r="D11" s="12">
        <v>1308005.8999999999</v>
      </c>
      <c r="E11" s="12">
        <v>5053195.5</v>
      </c>
      <c r="F11" s="15">
        <v>21.08</v>
      </c>
      <c r="G11" s="15">
        <v>0.1</v>
      </c>
      <c r="H11" s="15">
        <v>20.979999999999997</v>
      </c>
      <c r="I11" s="15">
        <v>399.572</v>
      </c>
      <c r="J11" t="s">
        <v>293</v>
      </c>
    </row>
    <row r="12" spans="1:11">
      <c r="A12" t="s">
        <v>78</v>
      </c>
      <c r="B12" s="12">
        <v>2215600</v>
      </c>
      <c r="C12" s="12">
        <v>5612100</v>
      </c>
      <c r="D12" s="12">
        <v>1305624.8999999999</v>
      </c>
      <c r="E12" s="12">
        <v>5050395.9000000004</v>
      </c>
      <c r="F12" s="15">
        <v>10.994999999999999</v>
      </c>
      <c r="G12" s="15">
        <v>-0.48</v>
      </c>
      <c r="H12" s="15">
        <v>11.475</v>
      </c>
      <c r="I12" s="15">
        <v>324.85199999999998</v>
      </c>
      <c r="J12" t="s">
        <v>85</v>
      </c>
    </row>
    <row r="13" spans="1:11">
      <c r="A13" t="s">
        <v>11</v>
      </c>
      <c r="B13" s="12">
        <v>2212738</v>
      </c>
      <c r="C13" s="12">
        <v>5613949</v>
      </c>
      <c r="D13" s="12">
        <v>1302759.6000000001</v>
      </c>
      <c r="E13" s="12">
        <v>5052244.5999999996</v>
      </c>
      <c r="F13" s="15">
        <v>15.36</v>
      </c>
      <c r="G13" s="15">
        <v>0.35</v>
      </c>
      <c r="H13" s="15">
        <v>15.01</v>
      </c>
      <c r="I13" s="15">
        <v>322.11099999999999</v>
      </c>
      <c r="J13" t="s">
        <v>24</v>
      </c>
    </row>
    <row r="14" spans="1:11">
      <c r="A14" t="s">
        <v>108</v>
      </c>
      <c r="B14" s="12">
        <v>2215466</v>
      </c>
      <c r="C14" s="12">
        <v>5607875</v>
      </c>
      <c r="D14" s="12">
        <v>1305493.5</v>
      </c>
      <c r="E14" s="12">
        <v>5046167.7</v>
      </c>
      <c r="F14" s="1">
        <v>93.35</v>
      </c>
      <c r="G14" s="1">
        <v>0</v>
      </c>
      <c r="H14" s="1">
        <v>0</v>
      </c>
      <c r="I14" s="1">
        <v>300.17999999999995</v>
      </c>
      <c r="J14" t="s">
        <v>33</v>
      </c>
      <c r="K14" s="15"/>
    </row>
    <row r="15" spans="1:11">
      <c r="A15" t="s">
        <v>116</v>
      </c>
      <c r="B15" s="12">
        <v>2211162</v>
      </c>
      <c r="C15" s="12">
        <v>5606054</v>
      </c>
      <c r="D15" s="12">
        <v>1301187.3999999999</v>
      </c>
      <c r="E15" s="12">
        <v>5044342.4000000004</v>
      </c>
      <c r="F15" s="15">
        <v>5.86</v>
      </c>
      <c r="G15" s="15">
        <v>0.95</v>
      </c>
      <c r="H15" s="15">
        <v>4.91</v>
      </c>
      <c r="I15" s="15">
        <v>292.17499999999995</v>
      </c>
      <c r="J15" t="s">
        <v>285</v>
      </c>
    </row>
    <row r="16" spans="1:11">
      <c r="A16" t="s">
        <v>305</v>
      </c>
      <c r="B16" s="12">
        <v>2211164</v>
      </c>
      <c r="C16" s="12">
        <v>5605947</v>
      </c>
      <c r="D16" s="12">
        <v>1301189.5</v>
      </c>
      <c r="E16" s="12">
        <v>5044235.4000000004</v>
      </c>
      <c r="F16" s="15">
        <v>7</v>
      </c>
      <c r="G16" s="15">
        <v>0.88</v>
      </c>
      <c r="H16" s="15">
        <v>6.12</v>
      </c>
      <c r="I16" s="15">
        <v>288.11799999999999</v>
      </c>
      <c r="J16" t="s">
        <v>287</v>
      </c>
    </row>
    <row r="17" spans="1:11">
      <c r="A17" t="s">
        <v>125</v>
      </c>
      <c r="B17" s="12">
        <v>2214382</v>
      </c>
      <c r="C17" s="12">
        <v>5610631</v>
      </c>
      <c r="D17" s="12">
        <v>1304406.8999999999</v>
      </c>
      <c r="E17" s="12">
        <v>5048925.0999999996</v>
      </c>
      <c r="F17" s="15">
        <v>8.33</v>
      </c>
      <c r="G17" s="15">
        <v>-0.52</v>
      </c>
      <c r="H17" s="15">
        <v>8.85</v>
      </c>
      <c r="I17" s="15">
        <v>321.178</v>
      </c>
      <c r="J17" t="s">
        <v>133</v>
      </c>
    </row>
    <row r="18" spans="1:11">
      <c r="A18" t="s">
        <v>134</v>
      </c>
      <c r="B18" s="12">
        <v>2215987</v>
      </c>
      <c r="C18" s="12">
        <v>5613194</v>
      </c>
      <c r="D18" s="12">
        <v>1306011.5</v>
      </c>
      <c r="E18" s="12">
        <v>5051491</v>
      </c>
      <c r="F18" s="15">
        <v>18.475000000000001</v>
      </c>
      <c r="G18" s="15">
        <v>-0.63</v>
      </c>
      <c r="H18" s="15">
        <v>19.105</v>
      </c>
      <c r="I18" s="15">
        <v>328.00099999999998</v>
      </c>
      <c r="J18" t="s">
        <v>142</v>
      </c>
    </row>
    <row r="19" spans="1:11">
      <c r="A19" t="s">
        <v>34</v>
      </c>
      <c r="B19" s="12">
        <v>2212213</v>
      </c>
      <c r="C19" s="12">
        <v>5609733</v>
      </c>
      <c r="D19" s="12">
        <v>1302236.8</v>
      </c>
      <c r="E19" s="12">
        <v>5048025</v>
      </c>
      <c r="F19" s="15">
        <v>12.86</v>
      </c>
      <c r="G19" s="15">
        <v>0</v>
      </c>
      <c r="H19" s="15">
        <v>12.86</v>
      </c>
      <c r="I19" s="15">
        <v>306.15600000000001</v>
      </c>
      <c r="J19" t="s">
        <v>33</v>
      </c>
    </row>
    <row r="20" spans="1:11">
      <c r="A20" t="s">
        <v>163</v>
      </c>
      <c r="B20" s="12">
        <v>2213451</v>
      </c>
      <c r="C20" s="12">
        <v>5609329</v>
      </c>
      <c r="D20" s="12">
        <v>1303476</v>
      </c>
      <c r="E20" s="12">
        <v>5047621.5</v>
      </c>
      <c r="F20" s="15">
        <v>41.64</v>
      </c>
      <c r="G20" s="15">
        <v>0</v>
      </c>
      <c r="H20" s="15">
        <v>41.64</v>
      </c>
      <c r="I20" s="15">
        <v>298.23400000000004</v>
      </c>
      <c r="J20" t="s">
        <v>33</v>
      </c>
    </row>
    <row r="21" spans="1:11">
      <c r="A21" t="s">
        <v>264</v>
      </c>
      <c r="B21" s="12">
        <v>2212448</v>
      </c>
      <c r="C21" s="12">
        <v>5613597</v>
      </c>
      <c r="D21" s="12">
        <v>1302469.6000000001</v>
      </c>
      <c r="E21" s="12">
        <v>5051892.0999999996</v>
      </c>
      <c r="F21" s="15">
        <v>19.690000000000001</v>
      </c>
      <c r="G21" s="15">
        <v>0.15</v>
      </c>
      <c r="H21" s="15">
        <v>19.540000000000003</v>
      </c>
      <c r="I21" s="15">
        <v>318.83999999999997</v>
      </c>
      <c r="J21" t="s">
        <v>258</v>
      </c>
    </row>
    <row r="22" spans="1:11">
      <c r="A22" t="s">
        <v>12</v>
      </c>
      <c r="B22" s="12">
        <v>2214945</v>
      </c>
      <c r="C22" s="12">
        <v>5614788</v>
      </c>
      <c r="D22" s="12">
        <v>1304967.7</v>
      </c>
      <c r="E22" s="12">
        <v>5053085.5999999996</v>
      </c>
      <c r="F22" s="15">
        <v>19.84</v>
      </c>
      <c r="G22" s="15">
        <v>-0.63</v>
      </c>
      <c r="H22" s="15">
        <v>20.47</v>
      </c>
      <c r="I22" s="15">
        <v>328.54899999999998</v>
      </c>
      <c r="J22" t="s">
        <v>270</v>
      </c>
    </row>
    <row r="23" spans="1:11">
      <c r="A23" t="s">
        <v>14</v>
      </c>
      <c r="B23" s="12">
        <v>2217804</v>
      </c>
      <c r="C23" s="12">
        <v>5604687</v>
      </c>
      <c r="D23" s="12">
        <v>1307835.3999999999</v>
      </c>
      <c r="E23" s="12">
        <v>5042978.8</v>
      </c>
      <c r="F23" s="15">
        <v>31.33</v>
      </c>
      <c r="G23" s="15">
        <v>0.3</v>
      </c>
      <c r="H23" s="15">
        <v>31.029999999999998</v>
      </c>
      <c r="I23" s="15">
        <v>314.16300000000001</v>
      </c>
      <c r="J23" t="s">
        <v>30</v>
      </c>
    </row>
    <row r="24" spans="1:11">
      <c r="A24" t="s">
        <v>178</v>
      </c>
      <c r="B24" s="12">
        <v>2215535</v>
      </c>
      <c r="C24" s="12">
        <v>5615330</v>
      </c>
      <c r="D24" s="12">
        <v>1305557.8999999999</v>
      </c>
      <c r="E24" s="12">
        <v>5053628.3</v>
      </c>
      <c r="F24" s="15">
        <v>33.54</v>
      </c>
      <c r="G24" s="15">
        <v>-0.7</v>
      </c>
      <c r="H24" s="15">
        <v>34.24</v>
      </c>
      <c r="I24" s="15">
        <v>330.13099999999997</v>
      </c>
      <c r="J24" t="s">
        <v>185</v>
      </c>
    </row>
    <row r="25" spans="1:11">
      <c r="A25" t="s">
        <v>186</v>
      </c>
      <c r="B25" s="12">
        <v>2209954</v>
      </c>
      <c r="C25" s="12">
        <v>5609505</v>
      </c>
      <c r="D25" s="12">
        <v>1299976.2</v>
      </c>
      <c r="E25" s="12">
        <v>5047795.4000000004</v>
      </c>
      <c r="F25" s="12">
        <v>23.75</v>
      </c>
      <c r="G25" s="12">
        <v>0</v>
      </c>
      <c r="H25" s="15">
        <v>0</v>
      </c>
      <c r="I25" s="15">
        <v>297.41000000000003</v>
      </c>
      <c r="J25" t="s">
        <v>33</v>
      </c>
      <c r="K25" s="15"/>
    </row>
    <row r="26" spans="1:11">
      <c r="A26" t="s">
        <v>25</v>
      </c>
      <c r="B26" s="12">
        <v>2212236</v>
      </c>
      <c r="C26" s="12">
        <v>5613256</v>
      </c>
      <c r="D26" s="12">
        <v>1302257.6000000001</v>
      </c>
      <c r="E26" s="12">
        <v>5051550.7</v>
      </c>
      <c r="F26" s="15">
        <v>22.08</v>
      </c>
      <c r="G26" s="15">
        <v>0.32</v>
      </c>
      <c r="H26" s="15">
        <v>21.759999999999998</v>
      </c>
      <c r="I26" s="15">
        <v>319.09399999999999</v>
      </c>
      <c r="J26" t="s">
        <v>19</v>
      </c>
    </row>
    <row r="27" spans="1:11">
      <c r="A27" t="s">
        <v>208</v>
      </c>
      <c r="B27" s="12">
        <v>2211962</v>
      </c>
      <c r="C27" s="12">
        <v>5611558</v>
      </c>
      <c r="D27" s="12">
        <v>1301984.5</v>
      </c>
      <c r="E27" s="12">
        <v>5049851.3</v>
      </c>
      <c r="F27" s="12">
        <v>-4.3</v>
      </c>
      <c r="G27" s="15">
        <v>0</v>
      </c>
      <c r="H27" s="15">
        <v>0</v>
      </c>
      <c r="I27" s="15">
        <v>326.14</v>
      </c>
      <c r="J27" t="s">
        <v>33</v>
      </c>
      <c r="K27" s="15"/>
    </row>
    <row r="28" spans="1:11">
      <c r="A28" t="s">
        <v>9</v>
      </c>
      <c r="B28" s="12">
        <v>2212487</v>
      </c>
      <c r="C28" s="12">
        <v>5609273</v>
      </c>
      <c r="D28" s="12">
        <v>1302511.3</v>
      </c>
      <c r="E28" s="12">
        <v>5047564.8</v>
      </c>
      <c r="F28" s="15">
        <v>19.46</v>
      </c>
      <c r="G28" s="15">
        <v>-0.6</v>
      </c>
      <c r="H28" s="15">
        <v>20.060000000000002</v>
      </c>
      <c r="I28" s="15">
        <v>301.56900000000002</v>
      </c>
      <c r="J28" t="s">
        <v>268</v>
      </c>
    </row>
    <row r="29" spans="1:11">
      <c r="A29" t="s">
        <v>306</v>
      </c>
      <c r="B29" s="12">
        <v>2216113</v>
      </c>
      <c r="C29" s="12">
        <v>5613451</v>
      </c>
      <c r="D29" s="12">
        <v>1306137.3999999999</v>
      </c>
      <c r="E29" s="12">
        <v>5051748.3</v>
      </c>
      <c r="F29" s="15">
        <v>22.08</v>
      </c>
      <c r="G29" s="15">
        <v>0.3</v>
      </c>
      <c r="H29" s="15">
        <v>21.779999999999998</v>
      </c>
      <c r="I29" s="15">
        <v>327.75300000000004</v>
      </c>
      <c r="J29" t="s">
        <v>304</v>
      </c>
    </row>
    <row r="30" spans="1:11">
      <c r="A30" t="s">
        <v>35</v>
      </c>
      <c r="B30" s="12">
        <v>2213660</v>
      </c>
      <c r="C30" s="12">
        <v>5613225</v>
      </c>
      <c r="D30" s="12">
        <v>1303682.7</v>
      </c>
      <c r="E30" s="12">
        <v>5051520.5999999996</v>
      </c>
      <c r="F30" s="15">
        <v>14.37</v>
      </c>
      <c r="G30" s="15">
        <v>0.23</v>
      </c>
      <c r="H30" s="15">
        <v>14.139999999999999</v>
      </c>
      <c r="I30" s="15">
        <v>323.40100000000001</v>
      </c>
      <c r="J30" t="s">
        <v>259</v>
      </c>
    </row>
    <row r="31" spans="1:11">
      <c r="A31" t="s">
        <v>7</v>
      </c>
      <c r="B31" s="12">
        <v>2216041</v>
      </c>
      <c r="C31" s="12">
        <v>5609795</v>
      </c>
      <c r="D31" s="12">
        <v>1306067.7</v>
      </c>
      <c r="E31" s="12">
        <v>5048089.5</v>
      </c>
      <c r="F31" s="15">
        <v>13</v>
      </c>
      <c r="G31" s="15">
        <v>-0.6</v>
      </c>
      <c r="H31" s="15">
        <v>13.6</v>
      </c>
      <c r="I31" s="15">
        <v>323.334</v>
      </c>
      <c r="J31" t="s">
        <v>23</v>
      </c>
    </row>
    <row r="32" spans="1:11">
      <c r="A32" t="s">
        <v>15</v>
      </c>
      <c r="B32" s="12">
        <v>2216638</v>
      </c>
      <c r="C32" s="12">
        <v>5610970</v>
      </c>
      <c r="D32" s="12">
        <v>1306664.3999999999</v>
      </c>
      <c r="E32" s="12">
        <v>5049265.7</v>
      </c>
      <c r="F32" s="15">
        <v>32.270000000000003</v>
      </c>
      <c r="G32" s="15">
        <v>-0.6</v>
      </c>
      <c r="H32" s="15">
        <v>32.870000000000005</v>
      </c>
      <c r="I32" s="15">
        <v>326.41500000000002</v>
      </c>
      <c r="J32" t="s">
        <v>28</v>
      </c>
    </row>
    <row r="33" spans="1:10">
      <c r="A33" t="s">
        <v>228</v>
      </c>
      <c r="B33" s="12">
        <v>2210314</v>
      </c>
      <c r="C33" s="12">
        <v>5608979</v>
      </c>
      <c r="D33" s="12">
        <v>1300336.8</v>
      </c>
      <c r="E33" s="12">
        <v>5047269.2</v>
      </c>
      <c r="F33" s="12">
        <v>21.53</v>
      </c>
      <c r="G33" s="12">
        <v>0</v>
      </c>
      <c r="H33" s="15">
        <v>0</v>
      </c>
      <c r="I33" s="15">
        <v>296.02999999999997</v>
      </c>
      <c r="J33" t="s">
        <v>33</v>
      </c>
    </row>
    <row r="34" spans="1:10">
      <c r="A34" t="s">
        <v>6</v>
      </c>
      <c r="B34" s="12">
        <v>2215712</v>
      </c>
      <c r="C34" s="12">
        <v>5610487</v>
      </c>
      <c r="D34" s="12">
        <v>1305738</v>
      </c>
      <c r="E34" s="12">
        <v>5048781.8</v>
      </c>
      <c r="F34" s="15">
        <v>10.85</v>
      </c>
      <c r="G34" s="15">
        <v>-0.6</v>
      </c>
      <c r="H34" s="15">
        <v>11.45</v>
      </c>
      <c r="I34" s="15">
        <v>324.971</v>
      </c>
      <c r="J34" t="s">
        <v>22</v>
      </c>
    </row>
    <row r="35" spans="1:10">
      <c r="A35" t="s">
        <v>16</v>
      </c>
      <c r="B35" s="12">
        <v>2213542</v>
      </c>
      <c r="C35" s="12">
        <v>5610528</v>
      </c>
      <c r="D35" s="12">
        <v>1303566.3</v>
      </c>
      <c r="E35" s="12">
        <v>5048821.5</v>
      </c>
      <c r="F35" s="15">
        <v>9.5500000000000007</v>
      </c>
      <c r="G35" s="15">
        <v>0.4</v>
      </c>
      <c r="H35" s="15">
        <v>9.15</v>
      </c>
      <c r="I35" s="15">
        <v>318.77800000000002</v>
      </c>
      <c r="J35" t="s">
        <v>27</v>
      </c>
    </row>
    <row r="36" spans="1:10">
      <c r="A36" t="s">
        <v>308</v>
      </c>
      <c r="B36" s="12">
        <v>2214918</v>
      </c>
      <c r="C36" s="12">
        <v>5609402</v>
      </c>
      <c r="D36" s="12">
        <v>1304944.1000000001</v>
      </c>
      <c r="E36" s="12">
        <v>5047695.5</v>
      </c>
      <c r="F36" s="15">
        <v>10.955</v>
      </c>
      <c r="G36" s="15">
        <v>-0.62</v>
      </c>
      <c r="H36" s="15">
        <v>11.574999999999999</v>
      </c>
      <c r="I36" s="15">
        <v>320.97300000000001</v>
      </c>
      <c r="J36" t="s">
        <v>281</v>
      </c>
    </row>
    <row r="37" spans="1:10">
      <c r="A37" t="s">
        <v>31</v>
      </c>
      <c r="B37" s="12">
        <v>2210541</v>
      </c>
      <c r="C37" s="12">
        <v>5609459</v>
      </c>
      <c r="D37" s="12">
        <v>1300563.7</v>
      </c>
      <c r="E37" s="12">
        <v>5047749.7</v>
      </c>
      <c r="F37" s="15">
        <v>22.13</v>
      </c>
      <c r="G37" s="15">
        <v>-0.61</v>
      </c>
      <c r="H37" s="15">
        <v>22.74</v>
      </c>
      <c r="I37" s="15">
        <v>299.35500000000002</v>
      </c>
      <c r="J37" t="s">
        <v>32</v>
      </c>
    </row>
    <row r="38" spans="1:10">
      <c r="A38" t="s">
        <v>26</v>
      </c>
      <c r="B38" s="12">
        <v>2212065</v>
      </c>
      <c r="C38" s="12">
        <v>5614138</v>
      </c>
      <c r="D38" s="12">
        <v>1302085.8999999999</v>
      </c>
      <c r="E38" s="12">
        <v>5052433.3</v>
      </c>
      <c r="F38" s="15">
        <v>35.99</v>
      </c>
      <c r="G38" s="15">
        <v>0.8</v>
      </c>
      <c r="H38" s="15">
        <v>35.190000000000005</v>
      </c>
      <c r="I38" s="15">
        <v>323.02199999999999</v>
      </c>
      <c r="J38" t="s">
        <v>20</v>
      </c>
    </row>
    <row r="39" spans="1:10">
      <c r="A39" t="s">
        <v>262</v>
      </c>
      <c r="B39" s="12">
        <v>2212648</v>
      </c>
      <c r="C39" s="12">
        <v>5612518</v>
      </c>
      <c r="D39" s="12">
        <v>1302670.3999999999</v>
      </c>
      <c r="E39" s="12">
        <v>5050812.4000000004</v>
      </c>
      <c r="F39" s="15">
        <v>1.45</v>
      </c>
      <c r="G39" s="15">
        <v>-0.8</v>
      </c>
      <c r="H39" s="15">
        <v>2.25</v>
      </c>
      <c r="I39" s="15">
        <v>317.97899999999998</v>
      </c>
      <c r="J39" t="s">
        <v>18</v>
      </c>
    </row>
    <row r="40" spans="1:10">
      <c r="A40" t="s">
        <v>10</v>
      </c>
      <c r="B40" s="12">
        <v>2212472</v>
      </c>
      <c r="C40" s="12">
        <v>5609033</v>
      </c>
      <c r="D40" s="12">
        <v>1302496.5</v>
      </c>
      <c r="E40" s="12">
        <v>5047324.5999999996</v>
      </c>
      <c r="F40" s="15">
        <v>18.02</v>
      </c>
      <c r="G40" s="15">
        <v>0.3</v>
      </c>
      <c r="H40" s="15">
        <v>17.72</v>
      </c>
      <c r="I40" s="15">
        <v>300.73599999999999</v>
      </c>
      <c r="J40" t="s">
        <v>269</v>
      </c>
    </row>
    <row r="41" spans="1:10">
      <c r="A41" t="s">
        <v>307</v>
      </c>
      <c r="B41" s="12">
        <v>2215355</v>
      </c>
      <c r="C41" s="12">
        <v>5609330</v>
      </c>
      <c r="D41" s="12">
        <v>1305381.5</v>
      </c>
      <c r="E41" s="12">
        <v>5047623.7</v>
      </c>
      <c r="F41" s="15">
        <v>11.63</v>
      </c>
      <c r="G41" s="15">
        <v>-0.14000000000000001</v>
      </c>
      <c r="H41" s="15">
        <v>11.770000000000001</v>
      </c>
      <c r="I41" s="15">
        <v>321.10400000000004</v>
      </c>
      <c r="J41" t="s">
        <v>278</v>
      </c>
    </row>
    <row r="42" spans="1:10">
      <c r="A42" t="s">
        <v>8</v>
      </c>
      <c r="B42" s="12">
        <v>2212290</v>
      </c>
      <c r="C42" s="12">
        <v>5607690</v>
      </c>
      <c r="D42" s="12">
        <v>1302315.2</v>
      </c>
      <c r="E42" s="12">
        <v>5045980.5</v>
      </c>
      <c r="F42" s="15">
        <v>76.13</v>
      </c>
      <c r="G42" s="15">
        <v>0.35</v>
      </c>
      <c r="H42" s="15">
        <v>75.78</v>
      </c>
      <c r="I42" s="15">
        <v>298.34400000000005</v>
      </c>
      <c r="J42" t="s">
        <v>268</v>
      </c>
    </row>
    <row r="43" spans="1:10">
      <c r="A43" t="s">
        <v>271</v>
      </c>
      <c r="B43" s="12">
        <v>2214368</v>
      </c>
      <c r="C43" s="12">
        <v>5607771</v>
      </c>
      <c r="D43" s="12">
        <v>1304394.8</v>
      </c>
      <c r="E43" s="12">
        <v>5046062.9000000004</v>
      </c>
      <c r="F43" s="15">
        <v>96.5</v>
      </c>
      <c r="G43" s="15">
        <v>0.33</v>
      </c>
      <c r="H43" s="15">
        <v>96.17</v>
      </c>
      <c r="I43" s="15">
        <v>294.09899999999999</v>
      </c>
      <c r="J43" t="s">
        <v>268</v>
      </c>
    </row>
    <row r="44" spans="1:10">
      <c r="A44" t="s">
        <v>272</v>
      </c>
      <c r="B44" s="12">
        <v>2212385</v>
      </c>
      <c r="C44" s="12">
        <v>5608945</v>
      </c>
      <c r="D44" s="12">
        <v>1302409.5</v>
      </c>
      <c r="E44" s="12">
        <v>5047236.5</v>
      </c>
      <c r="F44" s="15">
        <v>16.79</v>
      </c>
      <c r="G44" s="15">
        <v>0.2</v>
      </c>
      <c r="H44" s="15">
        <v>16.59</v>
      </c>
      <c r="I44" s="15">
        <v>300.41900000000004</v>
      </c>
      <c r="J44" t="s">
        <v>268</v>
      </c>
    </row>
    <row r="45" spans="1:10">
      <c r="A45" t="s">
        <v>266</v>
      </c>
      <c r="B45" s="12">
        <v>2215427.9</v>
      </c>
      <c r="C45" s="12">
        <v>5604055.2999999998</v>
      </c>
      <c r="D45" s="12">
        <v>1305457.95</v>
      </c>
      <c r="E45" s="12">
        <v>5042345.41</v>
      </c>
      <c r="F45" s="15">
        <v>0</v>
      </c>
      <c r="G45" s="15">
        <v>0</v>
      </c>
      <c r="H45" s="1">
        <v>270</v>
      </c>
      <c r="I45" s="1">
        <v>270</v>
      </c>
      <c r="J45" t="s">
        <v>266</v>
      </c>
    </row>
    <row r="46" spans="1:10">
      <c r="A46" t="s">
        <v>265</v>
      </c>
      <c r="B46" s="12">
        <v>2215567.645</v>
      </c>
      <c r="C46" s="12">
        <v>5604048.7719999999</v>
      </c>
      <c r="D46" s="12">
        <v>1305597.8189999999</v>
      </c>
      <c r="E46" s="12">
        <v>5042338.6040000003</v>
      </c>
      <c r="F46" s="15">
        <v>0</v>
      </c>
      <c r="G46" s="15">
        <v>0</v>
      </c>
      <c r="H46" s="1">
        <v>269</v>
      </c>
      <c r="I46" s="1">
        <v>269</v>
      </c>
      <c r="J46" t="s">
        <v>265</v>
      </c>
    </row>
    <row r="47" spans="1:10">
      <c r="A47" t="s">
        <v>267</v>
      </c>
      <c r="B47" s="12">
        <v>2215014.2000000002</v>
      </c>
      <c r="C47" s="12">
        <v>5603930.5999999996</v>
      </c>
      <c r="D47" s="14">
        <v>1305043.8999999999</v>
      </c>
      <c r="E47" s="12">
        <v>5042220.46</v>
      </c>
      <c r="F47" s="15">
        <v>0</v>
      </c>
      <c r="G47" s="15">
        <v>0</v>
      </c>
      <c r="H47" s="1">
        <v>271</v>
      </c>
      <c r="I47" s="1">
        <v>271</v>
      </c>
      <c r="J47" t="s">
        <v>267</v>
      </c>
    </row>
    <row r="48" spans="1:10">
      <c r="A48" t="s">
        <v>407</v>
      </c>
      <c r="B48" s="12">
        <v>2211066.0639999998</v>
      </c>
      <c r="C48" s="12">
        <v>5605887.085</v>
      </c>
      <c r="D48" s="12">
        <v>1301091.5120000001</v>
      </c>
      <c r="E48" s="12">
        <v>5044175.3329999996</v>
      </c>
      <c r="F48" s="15">
        <v>0</v>
      </c>
      <c r="G48" s="15">
        <v>0</v>
      </c>
      <c r="H48" s="15">
        <v>280</v>
      </c>
      <c r="I48" s="15">
        <v>280</v>
      </c>
      <c r="J48" t="s">
        <v>410</v>
      </c>
    </row>
    <row r="49" spans="1:11">
      <c r="A49" t="s">
        <v>408</v>
      </c>
      <c r="B49" s="12">
        <v>2212256</v>
      </c>
      <c r="C49" s="12">
        <v>5605485</v>
      </c>
      <c r="D49" s="12">
        <v>1302282.6510000001</v>
      </c>
      <c r="E49" s="12">
        <v>5043773.7189999996</v>
      </c>
      <c r="F49" s="15">
        <v>0</v>
      </c>
      <c r="G49" s="15">
        <v>0</v>
      </c>
      <c r="H49" s="15">
        <v>272</v>
      </c>
      <c r="I49" s="15">
        <v>272</v>
      </c>
      <c r="J49" s="15"/>
    </row>
    <row r="50" spans="1:11">
      <c r="A50" t="s">
        <v>399</v>
      </c>
      <c r="B50" s="12">
        <v>2210665</v>
      </c>
      <c r="C50" s="12">
        <v>5611589</v>
      </c>
      <c r="D50" s="12">
        <v>1300686.3999999999</v>
      </c>
      <c r="E50" s="12">
        <v>5049881.5</v>
      </c>
      <c r="F50" s="12">
        <v>40.25</v>
      </c>
      <c r="G50" s="12">
        <v>0</v>
      </c>
      <c r="H50" s="15">
        <v>0</v>
      </c>
      <c r="I50" s="15">
        <v>348.01</v>
      </c>
      <c r="J50" t="s">
        <v>33</v>
      </c>
      <c r="K50" s="15"/>
    </row>
    <row r="51" spans="1:11">
      <c r="A51" t="s">
        <v>400</v>
      </c>
      <c r="B51" s="12">
        <v>2211213</v>
      </c>
      <c r="C51" s="12">
        <v>5611820</v>
      </c>
      <c r="D51" s="12">
        <v>1301234.7</v>
      </c>
      <c r="E51" s="12">
        <v>5050113</v>
      </c>
      <c r="F51" s="12">
        <v>39.86</v>
      </c>
      <c r="G51" s="12">
        <v>0</v>
      </c>
      <c r="H51" s="15">
        <v>0</v>
      </c>
      <c r="I51" s="15">
        <v>346.86</v>
      </c>
      <c r="J51" t="s">
        <v>33</v>
      </c>
      <c r="K51" s="15"/>
    </row>
    <row r="52" spans="1:11">
      <c r="A52" t="s">
        <v>401</v>
      </c>
      <c r="B52" s="12">
        <v>2211090</v>
      </c>
      <c r="C52" s="12">
        <v>5612924</v>
      </c>
      <c r="D52" s="12">
        <v>1301110.8999999999</v>
      </c>
      <c r="E52" s="12">
        <v>5051217.8</v>
      </c>
      <c r="F52" s="12">
        <v>51.45</v>
      </c>
      <c r="G52" s="12">
        <v>0</v>
      </c>
      <c r="H52" s="15">
        <v>0</v>
      </c>
      <c r="I52" s="15">
        <v>350.11</v>
      </c>
      <c r="J52" t="s">
        <v>33</v>
      </c>
      <c r="K52" s="15"/>
    </row>
    <row r="53" spans="1:11">
      <c r="A53" t="s">
        <v>101</v>
      </c>
      <c r="B53" s="12">
        <v>2217600</v>
      </c>
      <c r="C53" s="12">
        <v>5613000</v>
      </c>
      <c r="D53" s="12">
        <v>1307625.8</v>
      </c>
      <c r="E53" s="12">
        <v>5051297.8</v>
      </c>
      <c r="F53" s="15">
        <v>47.18</v>
      </c>
      <c r="G53" s="12">
        <v>0</v>
      </c>
      <c r="H53" s="15">
        <v>0</v>
      </c>
      <c r="I53" s="15">
        <v>355.54</v>
      </c>
      <c r="J53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5"/>
  <sheetViews>
    <sheetView workbookViewId="0">
      <pane ySplit="1" topLeftCell="A2" activePane="bottomLeft" state="frozen"/>
      <selection pane="bottomLeft" activeCell="I28" sqref="I28"/>
    </sheetView>
  </sheetViews>
  <sheetFormatPr defaultRowHeight="15"/>
  <cols>
    <col min="1" max="1" width="14" customWidth="1"/>
    <col min="2" max="2" width="9.85546875" style="12" customWidth="1"/>
    <col min="3" max="3" width="11.85546875" style="12" customWidth="1"/>
    <col min="4" max="4" width="10.5703125" style="12" customWidth="1"/>
    <col min="5" max="5" width="11.7109375" style="12" customWidth="1"/>
    <col min="6" max="6" width="12.85546875" style="15" customWidth="1"/>
    <col min="7" max="7" width="8.42578125" style="15" customWidth="1"/>
    <col min="8" max="9" width="11" style="15" customWidth="1"/>
    <col min="10" max="10" width="48" customWidth="1"/>
  </cols>
  <sheetData>
    <row r="1" spans="1:11" s="2" customFormat="1">
      <c r="A1" s="2" t="s">
        <v>0</v>
      </c>
      <c r="B1" s="13" t="s">
        <v>1</v>
      </c>
      <c r="C1" s="13" t="s">
        <v>2</v>
      </c>
      <c r="D1" s="13" t="s">
        <v>260</v>
      </c>
      <c r="E1" s="13" t="s">
        <v>261</v>
      </c>
      <c r="F1" s="22" t="s">
        <v>5</v>
      </c>
      <c r="G1" s="22" t="s">
        <v>4</v>
      </c>
      <c r="H1" s="22" t="s">
        <v>3</v>
      </c>
      <c r="I1" s="22" t="s">
        <v>398</v>
      </c>
      <c r="J1" s="2" t="s">
        <v>21</v>
      </c>
    </row>
    <row r="2" spans="1:11">
      <c r="A2" t="s">
        <v>17</v>
      </c>
      <c r="B2" s="12">
        <v>2215949</v>
      </c>
      <c r="C2" s="12">
        <v>5612424</v>
      </c>
      <c r="D2" s="12">
        <v>1305974</v>
      </c>
      <c r="E2" s="12">
        <v>5050720.4000000004</v>
      </c>
      <c r="F2" s="15">
        <v>14.31</v>
      </c>
      <c r="G2" s="15">
        <v>0.15</v>
      </c>
      <c r="H2" s="15">
        <v>14.16</v>
      </c>
      <c r="I2" s="15">
        <v>326.36699999999996</v>
      </c>
      <c r="J2" t="s">
        <v>263</v>
      </c>
    </row>
    <row r="3" spans="1:11">
      <c r="A3" t="s">
        <v>402</v>
      </c>
      <c r="B3" s="12">
        <v>2212751</v>
      </c>
      <c r="C3" s="12">
        <v>5609456</v>
      </c>
      <c r="D3" s="12">
        <v>1302775.3999999999</v>
      </c>
      <c r="E3" s="12">
        <v>5047748.0999999996</v>
      </c>
      <c r="F3" s="15">
        <v>23.09</v>
      </c>
      <c r="G3" s="15">
        <v>0.19</v>
      </c>
      <c r="H3" s="15">
        <v>22.9</v>
      </c>
      <c r="I3" s="15">
        <v>301.60000000000002</v>
      </c>
      <c r="J3" s="25">
        <v>40643</v>
      </c>
    </row>
    <row r="4" spans="1:11">
      <c r="A4" t="s">
        <v>403</v>
      </c>
      <c r="B4" s="12">
        <v>2210343</v>
      </c>
      <c r="C4" s="12">
        <v>5607445</v>
      </c>
      <c r="D4" s="12">
        <v>1300366.8</v>
      </c>
      <c r="E4" s="12">
        <v>5045734</v>
      </c>
      <c r="F4" s="15">
        <v>21.68</v>
      </c>
      <c r="G4" s="15">
        <v>0</v>
      </c>
      <c r="H4" s="15">
        <v>21.68</v>
      </c>
      <c r="I4" s="15">
        <v>292.12</v>
      </c>
      <c r="J4" t="s">
        <v>404</v>
      </c>
    </row>
    <row r="5" spans="1:11">
      <c r="A5" t="s">
        <v>405</v>
      </c>
      <c r="B5" s="12">
        <v>2216033</v>
      </c>
      <c r="C5" s="12">
        <v>5608645</v>
      </c>
      <c r="D5" s="12">
        <v>1306060.5</v>
      </c>
      <c r="E5" s="12">
        <v>5046938.5999999996</v>
      </c>
      <c r="F5" s="15">
        <v>42.42</v>
      </c>
      <c r="G5" s="15">
        <v>-0.7</v>
      </c>
      <c r="H5" s="15">
        <v>43.120000000000005</v>
      </c>
      <c r="I5" s="15">
        <v>312.48</v>
      </c>
      <c r="J5" s="25">
        <v>40643</v>
      </c>
    </row>
    <row r="6" spans="1:11">
      <c r="A6" t="s">
        <v>406</v>
      </c>
      <c r="B6" s="1">
        <v>2215046</v>
      </c>
      <c r="C6" s="12">
        <v>5608709</v>
      </c>
      <c r="D6" s="12">
        <v>1305072.7</v>
      </c>
      <c r="E6" s="12">
        <v>5047002</v>
      </c>
      <c r="F6" s="15">
        <v>55.87</v>
      </c>
      <c r="G6" s="15">
        <v>0.2</v>
      </c>
      <c r="H6" s="15">
        <v>55.669999999999995</v>
      </c>
      <c r="I6" s="15">
        <v>295.33</v>
      </c>
      <c r="J6" s="25">
        <v>40643</v>
      </c>
    </row>
    <row r="7" spans="1:11">
      <c r="A7" t="s">
        <v>274</v>
      </c>
      <c r="B7" s="12">
        <v>2208855.7000000002</v>
      </c>
      <c r="C7" s="12">
        <v>5606524.7000000002</v>
      </c>
      <c r="D7" s="12">
        <v>1298878.54</v>
      </c>
      <c r="E7" s="12">
        <v>5044812</v>
      </c>
      <c r="F7" s="15">
        <v>0</v>
      </c>
      <c r="G7" s="15">
        <v>0</v>
      </c>
      <c r="H7" s="15">
        <v>271.36700000000002</v>
      </c>
      <c r="I7" s="15">
        <v>271.36700000000002</v>
      </c>
      <c r="J7" s="23" t="s">
        <v>309</v>
      </c>
    </row>
    <row r="8" spans="1:11">
      <c r="A8" t="s">
        <v>396</v>
      </c>
      <c r="B8" s="12">
        <v>2208514.4</v>
      </c>
      <c r="C8" s="12">
        <v>5607143.4000000004</v>
      </c>
      <c r="D8" s="12">
        <v>1298536.92</v>
      </c>
      <c r="E8" s="12">
        <v>5045431.05</v>
      </c>
      <c r="F8" s="15">
        <v>0</v>
      </c>
      <c r="G8" s="15">
        <v>0</v>
      </c>
      <c r="H8" s="15">
        <v>272.39999999999998</v>
      </c>
      <c r="I8" s="15">
        <v>272.39999999999998</v>
      </c>
    </row>
    <row r="9" spans="1:11">
      <c r="A9" t="s">
        <v>397</v>
      </c>
      <c r="B9" s="12">
        <v>2208751.1</v>
      </c>
      <c r="C9" s="12">
        <v>5607004.4000000004</v>
      </c>
      <c r="D9" s="12">
        <v>1298774.33</v>
      </c>
      <c r="E9" s="12">
        <v>5045291.71</v>
      </c>
      <c r="F9" s="15">
        <v>0</v>
      </c>
      <c r="G9" s="15">
        <v>0</v>
      </c>
      <c r="H9" s="15">
        <v>271.5</v>
      </c>
      <c r="I9" s="15">
        <v>271.5</v>
      </c>
    </row>
    <row r="10" spans="1:11">
      <c r="A10" t="s">
        <v>36</v>
      </c>
      <c r="B10" s="12">
        <v>2214082</v>
      </c>
      <c r="C10" s="12">
        <v>5614378</v>
      </c>
      <c r="D10" s="12">
        <v>1304104.3</v>
      </c>
      <c r="E10" s="12">
        <v>5052674.7</v>
      </c>
      <c r="F10" s="15">
        <v>21.02</v>
      </c>
      <c r="G10" s="15">
        <v>0.3</v>
      </c>
      <c r="H10" s="15">
        <v>20.72</v>
      </c>
      <c r="I10" s="15">
        <v>326.29300000000001</v>
      </c>
      <c r="J10" t="s">
        <v>36</v>
      </c>
    </row>
    <row r="11" spans="1:11">
      <c r="A11" t="s">
        <v>37</v>
      </c>
      <c r="B11" s="12">
        <v>2216410</v>
      </c>
      <c r="C11" s="12">
        <v>5614467</v>
      </c>
      <c r="D11" s="12">
        <v>1306434</v>
      </c>
      <c r="E11" s="12">
        <v>5052765.2</v>
      </c>
      <c r="F11" s="15">
        <v>35.96</v>
      </c>
      <c r="G11" s="15">
        <v>0.3</v>
      </c>
      <c r="H11" s="15">
        <v>35.660000000000004</v>
      </c>
      <c r="I11" s="15">
        <v>329.45799999999997</v>
      </c>
      <c r="J11" t="s">
        <v>37</v>
      </c>
    </row>
    <row r="12" spans="1:11">
      <c r="A12" t="s">
        <v>57</v>
      </c>
      <c r="B12" s="12">
        <v>2210200</v>
      </c>
      <c r="C12" s="12">
        <v>5610200</v>
      </c>
      <c r="D12" s="12">
        <v>1300221.8999999999</v>
      </c>
      <c r="E12" s="12">
        <v>5048491.0999999996</v>
      </c>
      <c r="F12" s="1">
        <v>-22.2</v>
      </c>
      <c r="G12" s="15">
        <v>0</v>
      </c>
      <c r="H12" s="1">
        <v>0</v>
      </c>
      <c r="I12" s="1">
        <v>300.17</v>
      </c>
      <c r="J12" t="s">
        <v>33</v>
      </c>
      <c r="K12" s="15"/>
    </row>
    <row r="13" spans="1:11">
      <c r="A13" t="s">
        <v>13</v>
      </c>
      <c r="B13" s="12">
        <v>2215500</v>
      </c>
      <c r="C13" s="12">
        <v>5602400</v>
      </c>
      <c r="D13" s="12">
        <v>1305531.3</v>
      </c>
      <c r="E13" s="12">
        <v>5040688.5</v>
      </c>
      <c r="F13" s="15">
        <v>20.69</v>
      </c>
      <c r="G13" s="15">
        <v>-0.66</v>
      </c>
      <c r="H13" s="15">
        <v>21.35</v>
      </c>
      <c r="I13" s="15">
        <v>253.523</v>
      </c>
      <c r="J13" t="s">
        <v>29</v>
      </c>
    </row>
    <row r="14" spans="1:11">
      <c r="A14" t="s">
        <v>290</v>
      </c>
      <c r="B14" s="12">
        <v>2217981</v>
      </c>
      <c r="C14" s="12">
        <v>5614896</v>
      </c>
      <c r="D14" s="12">
        <v>1308005.8999999999</v>
      </c>
      <c r="E14" s="12">
        <v>5053195.5</v>
      </c>
      <c r="F14" s="15">
        <v>21.08</v>
      </c>
      <c r="G14" s="15">
        <v>0.1</v>
      </c>
      <c r="H14" s="15">
        <v>20.979999999999997</v>
      </c>
      <c r="I14" s="15">
        <v>399.572</v>
      </c>
      <c r="J14" t="s">
        <v>293</v>
      </c>
    </row>
    <row r="15" spans="1:11">
      <c r="A15" t="s">
        <v>78</v>
      </c>
      <c r="B15" s="12">
        <v>2215600</v>
      </c>
      <c r="C15" s="12">
        <v>5612100</v>
      </c>
      <c r="D15" s="12">
        <v>1305624.8999999999</v>
      </c>
      <c r="E15" s="12">
        <v>5050395.9000000004</v>
      </c>
      <c r="F15" s="15">
        <v>10.994999999999999</v>
      </c>
      <c r="G15" s="15">
        <v>-0.48</v>
      </c>
      <c r="H15" s="15">
        <v>11.475</v>
      </c>
      <c r="I15" s="15">
        <v>324.85199999999998</v>
      </c>
      <c r="J15" t="s">
        <v>85</v>
      </c>
    </row>
    <row r="16" spans="1:11">
      <c r="A16" t="s">
        <v>11</v>
      </c>
      <c r="B16" s="12">
        <v>2212738</v>
      </c>
      <c r="C16" s="12">
        <v>5613949</v>
      </c>
      <c r="D16" s="12">
        <v>1302759.6000000001</v>
      </c>
      <c r="E16" s="12">
        <v>5052244.5999999996</v>
      </c>
      <c r="F16" s="15">
        <v>15.36</v>
      </c>
      <c r="G16" s="15">
        <v>0.35</v>
      </c>
      <c r="H16" s="15">
        <v>15.01</v>
      </c>
      <c r="I16" s="15">
        <v>322.11099999999999</v>
      </c>
      <c r="J16" t="s">
        <v>24</v>
      </c>
    </row>
    <row r="17" spans="1:11">
      <c r="A17" t="s">
        <v>108</v>
      </c>
      <c r="B17" s="12">
        <v>2215466</v>
      </c>
      <c r="C17" s="12">
        <v>5607875</v>
      </c>
      <c r="D17" s="12">
        <v>1305493.5</v>
      </c>
      <c r="E17" s="12">
        <v>5046167.7</v>
      </c>
      <c r="F17" s="1">
        <v>93.35</v>
      </c>
      <c r="G17" s="1">
        <v>0</v>
      </c>
      <c r="H17" s="1">
        <v>0</v>
      </c>
      <c r="I17" s="1">
        <v>300.17999999999995</v>
      </c>
      <c r="J17" t="s">
        <v>33</v>
      </c>
      <c r="K17" s="15"/>
    </row>
    <row r="18" spans="1:11">
      <c r="A18" t="s">
        <v>116</v>
      </c>
      <c r="B18" s="12">
        <v>2211162</v>
      </c>
      <c r="C18" s="12">
        <v>5606054</v>
      </c>
      <c r="D18" s="12">
        <v>1301187.3999999999</v>
      </c>
      <c r="E18" s="12">
        <v>5044342.4000000004</v>
      </c>
      <c r="F18" s="15">
        <v>5.86</v>
      </c>
      <c r="G18" s="15">
        <v>0.95</v>
      </c>
      <c r="H18" s="15">
        <v>4.91</v>
      </c>
      <c r="I18" s="15">
        <v>292.17499999999995</v>
      </c>
      <c r="J18" t="s">
        <v>285</v>
      </c>
    </row>
    <row r="19" spans="1:11">
      <c r="A19" t="s">
        <v>305</v>
      </c>
      <c r="B19" s="12">
        <v>2211164</v>
      </c>
      <c r="C19" s="12">
        <v>5605947</v>
      </c>
      <c r="D19" s="12">
        <v>1301189.5</v>
      </c>
      <c r="E19" s="12">
        <v>5044235.4000000004</v>
      </c>
      <c r="F19" s="15">
        <v>7</v>
      </c>
      <c r="G19" s="15">
        <v>0.88</v>
      </c>
      <c r="H19" s="15">
        <v>6.12</v>
      </c>
      <c r="I19" s="15">
        <v>288.11799999999999</v>
      </c>
      <c r="J19" t="s">
        <v>287</v>
      </c>
    </row>
    <row r="20" spans="1:11">
      <c r="A20" t="s">
        <v>125</v>
      </c>
      <c r="B20" s="12">
        <v>2214382</v>
      </c>
      <c r="C20" s="12">
        <v>5610631</v>
      </c>
      <c r="D20" s="12">
        <v>1304406.8999999999</v>
      </c>
      <c r="E20" s="12">
        <v>5048925.0999999996</v>
      </c>
      <c r="F20" s="15">
        <v>8.33</v>
      </c>
      <c r="G20" s="15">
        <v>-0.52</v>
      </c>
      <c r="H20" s="15">
        <v>8.85</v>
      </c>
      <c r="I20" s="15">
        <v>321.178</v>
      </c>
      <c r="J20" t="s">
        <v>133</v>
      </c>
    </row>
    <row r="21" spans="1:11">
      <c r="A21" t="s">
        <v>134</v>
      </c>
      <c r="B21" s="12">
        <v>2215987</v>
      </c>
      <c r="C21" s="12">
        <v>5613194</v>
      </c>
      <c r="D21" s="12">
        <v>1306011.5</v>
      </c>
      <c r="E21" s="12">
        <v>5051491</v>
      </c>
      <c r="F21" s="15">
        <v>18.475000000000001</v>
      </c>
      <c r="G21" s="15">
        <v>-0.63</v>
      </c>
      <c r="H21" s="15">
        <v>19.105</v>
      </c>
      <c r="I21" s="15">
        <v>328.00099999999998</v>
      </c>
      <c r="J21" t="s">
        <v>142</v>
      </c>
    </row>
    <row r="22" spans="1:11">
      <c r="A22" t="s">
        <v>34</v>
      </c>
      <c r="B22" s="12">
        <v>2212213</v>
      </c>
      <c r="C22" s="12">
        <v>5609733</v>
      </c>
      <c r="D22" s="12">
        <v>1302236.8</v>
      </c>
      <c r="E22" s="12">
        <v>5048025</v>
      </c>
      <c r="F22" s="15">
        <v>12.86</v>
      </c>
      <c r="G22" s="15">
        <v>0</v>
      </c>
      <c r="H22" s="15">
        <v>12.86</v>
      </c>
      <c r="I22" s="15">
        <v>306.15600000000001</v>
      </c>
      <c r="J22" t="s">
        <v>33</v>
      </c>
    </row>
    <row r="23" spans="1:11">
      <c r="A23" t="s">
        <v>163</v>
      </c>
      <c r="B23" s="12">
        <v>2213451</v>
      </c>
      <c r="C23" s="12">
        <v>5609329</v>
      </c>
      <c r="D23" s="12">
        <v>1303476</v>
      </c>
      <c r="E23" s="12">
        <v>5047621.5</v>
      </c>
      <c r="F23" s="15">
        <v>41.64</v>
      </c>
      <c r="G23" s="15">
        <v>0</v>
      </c>
      <c r="H23" s="15">
        <v>41.64</v>
      </c>
      <c r="I23" s="15">
        <v>298.23400000000004</v>
      </c>
      <c r="J23" t="s">
        <v>33</v>
      </c>
    </row>
    <row r="24" spans="1:11">
      <c r="A24" t="s">
        <v>264</v>
      </c>
      <c r="B24" s="12">
        <v>2212448</v>
      </c>
      <c r="C24" s="12">
        <v>5613597</v>
      </c>
      <c r="D24" s="12">
        <v>1302469.6000000001</v>
      </c>
      <c r="E24" s="12">
        <v>5051892.0999999996</v>
      </c>
      <c r="F24" s="15">
        <v>19.690000000000001</v>
      </c>
      <c r="G24" s="15">
        <v>0.15</v>
      </c>
      <c r="H24" s="15">
        <v>19.540000000000003</v>
      </c>
      <c r="I24" s="15">
        <v>318.83999999999997</v>
      </c>
      <c r="J24" t="s">
        <v>258</v>
      </c>
    </row>
    <row r="25" spans="1:11">
      <c r="A25" t="s">
        <v>12</v>
      </c>
      <c r="B25" s="12">
        <v>2214945</v>
      </c>
      <c r="C25" s="12">
        <v>5614788</v>
      </c>
      <c r="D25" s="12">
        <v>1304967.7</v>
      </c>
      <c r="E25" s="12">
        <v>5053085.5999999996</v>
      </c>
      <c r="F25" s="15">
        <v>19.84</v>
      </c>
      <c r="G25" s="15">
        <v>-0.63</v>
      </c>
      <c r="H25" s="15">
        <v>20.47</v>
      </c>
      <c r="I25" s="15">
        <v>328.54899999999998</v>
      </c>
      <c r="J25" t="s">
        <v>270</v>
      </c>
    </row>
    <row r="26" spans="1:11">
      <c r="A26" t="s">
        <v>14</v>
      </c>
      <c r="B26" s="12">
        <v>2217804</v>
      </c>
      <c r="C26" s="12">
        <v>5604687</v>
      </c>
      <c r="D26" s="12">
        <v>1307835.3999999999</v>
      </c>
      <c r="E26" s="12">
        <v>5042978.8</v>
      </c>
      <c r="F26" s="15">
        <v>31.33</v>
      </c>
      <c r="G26" s="15">
        <v>0.3</v>
      </c>
      <c r="H26" s="15">
        <v>31.029999999999998</v>
      </c>
      <c r="I26" s="15">
        <v>314.16300000000001</v>
      </c>
      <c r="J26" t="s">
        <v>30</v>
      </c>
    </row>
    <row r="27" spans="1:11">
      <c r="A27" t="s">
        <v>178</v>
      </c>
      <c r="B27" s="12">
        <v>2215535</v>
      </c>
      <c r="C27" s="12">
        <v>5615330</v>
      </c>
      <c r="D27" s="12">
        <v>1305557.8999999999</v>
      </c>
      <c r="E27" s="12">
        <v>5053628.3</v>
      </c>
      <c r="F27" s="15">
        <v>33.54</v>
      </c>
      <c r="G27" s="15">
        <v>-0.7</v>
      </c>
      <c r="H27" s="15">
        <v>34.24</v>
      </c>
      <c r="I27" s="15">
        <v>330.13099999999997</v>
      </c>
      <c r="J27" t="s">
        <v>185</v>
      </c>
    </row>
    <row r="28" spans="1:11">
      <c r="A28" t="s">
        <v>186</v>
      </c>
      <c r="B28" s="12">
        <v>2209954</v>
      </c>
      <c r="C28" s="12">
        <v>5609505</v>
      </c>
      <c r="D28" s="12">
        <v>1299976.2</v>
      </c>
      <c r="E28" s="12">
        <v>5047795.4000000004</v>
      </c>
      <c r="F28" s="12">
        <v>23.75</v>
      </c>
      <c r="G28" s="12">
        <v>0</v>
      </c>
      <c r="H28" s="15">
        <v>0</v>
      </c>
      <c r="I28" s="15">
        <v>297.41000000000003</v>
      </c>
      <c r="J28" t="s">
        <v>33</v>
      </c>
      <c r="K28" s="15"/>
    </row>
    <row r="29" spans="1:11">
      <c r="A29" t="s">
        <v>25</v>
      </c>
      <c r="B29" s="12">
        <v>2212236</v>
      </c>
      <c r="C29" s="12">
        <v>5613256</v>
      </c>
      <c r="D29" s="12">
        <v>1302257.6000000001</v>
      </c>
      <c r="E29" s="12">
        <v>5051550.7</v>
      </c>
      <c r="F29" s="15">
        <v>22.08</v>
      </c>
      <c r="G29" s="15">
        <v>0.32</v>
      </c>
      <c r="H29" s="15">
        <v>21.759999999999998</v>
      </c>
      <c r="I29" s="15">
        <v>319.09399999999999</v>
      </c>
      <c r="J29" t="s">
        <v>19</v>
      </c>
    </row>
    <row r="30" spans="1:11">
      <c r="A30" t="s">
        <v>208</v>
      </c>
      <c r="B30" s="12">
        <v>2211962</v>
      </c>
      <c r="C30" s="12">
        <v>5611558</v>
      </c>
      <c r="D30" s="12">
        <v>1301984.5</v>
      </c>
      <c r="E30" s="12">
        <v>5049851.3</v>
      </c>
      <c r="F30" s="12">
        <v>-4.3</v>
      </c>
      <c r="G30" s="15">
        <v>0</v>
      </c>
      <c r="H30" s="15">
        <v>0</v>
      </c>
      <c r="I30" s="15">
        <v>326.14</v>
      </c>
      <c r="J30" t="s">
        <v>33</v>
      </c>
      <c r="K30" s="15"/>
    </row>
    <row r="31" spans="1:11">
      <c r="A31" t="s">
        <v>9</v>
      </c>
      <c r="B31" s="12">
        <v>2212487</v>
      </c>
      <c r="C31" s="12">
        <v>5609273</v>
      </c>
      <c r="D31" s="12">
        <v>1302511.3</v>
      </c>
      <c r="E31" s="12">
        <v>5047564.8</v>
      </c>
      <c r="F31" s="15">
        <v>19.46</v>
      </c>
      <c r="G31" s="15">
        <v>-0.6</v>
      </c>
      <c r="H31" s="15">
        <v>20.060000000000002</v>
      </c>
      <c r="I31" s="15">
        <v>301.56900000000002</v>
      </c>
      <c r="J31" t="s">
        <v>268</v>
      </c>
    </row>
    <row r="32" spans="1:11">
      <c r="A32" t="s">
        <v>306</v>
      </c>
      <c r="B32" s="12">
        <v>2216113</v>
      </c>
      <c r="C32" s="12">
        <v>5613451</v>
      </c>
      <c r="D32" s="12">
        <v>1306137.3999999999</v>
      </c>
      <c r="E32" s="12">
        <v>5051748.3</v>
      </c>
      <c r="F32" s="15">
        <v>22.08</v>
      </c>
      <c r="G32" s="15">
        <v>0.3</v>
      </c>
      <c r="H32" s="15">
        <v>21.779999999999998</v>
      </c>
      <c r="I32" s="15">
        <v>327.75300000000004</v>
      </c>
      <c r="J32" t="s">
        <v>304</v>
      </c>
    </row>
    <row r="33" spans="1:10">
      <c r="A33" t="s">
        <v>35</v>
      </c>
      <c r="B33" s="12">
        <v>2213660</v>
      </c>
      <c r="C33" s="12">
        <v>5613225</v>
      </c>
      <c r="D33" s="12">
        <v>1303682.7</v>
      </c>
      <c r="E33" s="12">
        <v>5051520.5999999996</v>
      </c>
      <c r="F33" s="15">
        <v>14.37</v>
      </c>
      <c r="G33" s="15">
        <v>0.23</v>
      </c>
      <c r="H33" s="15">
        <v>14.139999999999999</v>
      </c>
      <c r="I33" s="15">
        <v>323.40100000000001</v>
      </c>
      <c r="J33" t="s">
        <v>259</v>
      </c>
    </row>
    <row r="34" spans="1:10">
      <c r="A34" t="s">
        <v>7</v>
      </c>
      <c r="B34" s="12">
        <v>2216041</v>
      </c>
      <c r="C34" s="12">
        <v>5609795</v>
      </c>
      <c r="D34" s="12">
        <v>1306067.7</v>
      </c>
      <c r="E34" s="12">
        <v>5048089.5</v>
      </c>
      <c r="F34" s="15">
        <v>13</v>
      </c>
      <c r="G34" s="15">
        <v>-0.6</v>
      </c>
      <c r="H34" s="15">
        <v>13.6</v>
      </c>
      <c r="I34" s="15">
        <v>323.334</v>
      </c>
      <c r="J34" t="s">
        <v>23</v>
      </c>
    </row>
    <row r="35" spans="1:10">
      <c r="A35" t="s">
        <v>15</v>
      </c>
      <c r="B35" s="12">
        <v>2216638</v>
      </c>
      <c r="C35" s="12">
        <v>5610970</v>
      </c>
      <c r="D35" s="12">
        <v>1306664.3999999999</v>
      </c>
      <c r="E35" s="12">
        <v>5049265.7</v>
      </c>
      <c r="F35" s="15">
        <v>32.270000000000003</v>
      </c>
      <c r="G35" s="15">
        <v>-0.6</v>
      </c>
      <c r="H35" s="15">
        <v>32.870000000000005</v>
      </c>
      <c r="I35" s="15">
        <v>326.41500000000002</v>
      </c>
      <c r="J35" t="s">
        <v>28</v>
      </c>
    </row>
    <row r="36" spans="1:10">
      <c r="A36" t="s">
        <v>228</v>
      </c>
      <c r="B36" s="12">
        <v>2210314</v>
      </c>
      <c r="C36" s="12">
        <v>5608979</v>
      </c>
      <c r="D36" s="12">
        <v>1300336.8</v>
      </c>
      <c r="E36" s="12">
        <v>5047269.2</v>
      </c>
      <c r="F36" s="12">
        <v>21.53</v>
      </c>
      <c r="G36" s="12">
        <v>0</v>
      </c>
      <c r="H36" s="15">
        <v>0</v>
      </c>
      <c r="I36" s="15">
        <v>296.02999999999997</v>
      </c>
      <c r="J36" t="s">
        <v>33</v>
      </c>
    </row>
    <row r="37" spans="1:10">
      <c r="A37" t="s">
        <v>6</v>
      </c>
      <c r="B37" s="12">
        <v>2215712</v>
      </c>
      <c r="C37" s="12">
        <v>5610487</v>
      </c>
      <c r="D37" s="12">
        <v>1305738</v>
      </c>
      <c r="E37" s="12">
        <v>5048781.8</v>
      </c>
      <c r="F37" s="15">
        <v>10.85</v>
      </c>
      <c r="G37" s="15">
        <v>-0.6</v>
      </c>
      <c r="H37" s="15">
        <v>11.45</v>
      </c>
      <c r="I37" s="15">
        <v>324.971</v>
      </c>
      <c r="J37" t="s">
        <v>22</v>
      </c>
    </row>
    <row r="38" spans="1:10">
      <c r="A38" t="s">
        <v>16</v>
      </c>
      <c r="B38" s="12">
        <v>2213542</v>
      </c>
      <c r="C38" s="12">
        <v>5610528</v>
      </c>
      <c r="D38" s="12">
        <v>1303566.3</v>
      </c>
      <c r="E38" s="12">
        <v>5048821.5</v>
      </c>
      <c r="F38" s="15">
        <v>9.5500000000000007</v>
      </c>
      <c r="G38" s="15">
        <v>0.4</v>
      </c>
      <c r="H38" s="15">
        <v>9.15</v>
      </c>
      <c r="I38" s="15">
        <v>318.77800000000002</v>
      </c>
      <c r="J38" t="s">
        <v>27</v>
      </c>
    </row>
    <row r="39" spans="1:10">
      <c r="A39" t="s">
        <v>308</v>
      </c>
      <c r="B39" s="12">
        <v>2214918</v>
      </c>
      <c r="C39" s="12">
        <v>5609402</v>
      </c>
      <c r="D39" s="12">
        <v>1304944.1000000001</v>
      </c>
      <c r="E39" s="12">
        <v>5047695.5</v>
      </c>
      <c r="F39" s="15">
        <v>10.955</v>
      </c>
      <c r="G39" s="15">
        <v>-0.62</v>
      </c>
      <c r="H39" s="15">
        <v>11.574999999999999</v>
      </c>
      <c r="I39" s="15">
        <v>320.97300000000001</v>
      </c>
      <c r="J39" t="s">
        <v>281</v>
      </c>
    </row>
    <row r="40" spans="1:10">
      <c r="A40" t="s">
        <v>31</v>
      </c>
      <c r="B40" s="12">
        <v>2210541</v>
      </c>
      <c r="C40" s="12">
        <v>5609459</v>
      </c>
      <c r="D40" s="12">
        <v>1300563.7</v>
      </c>
      <c r="E40" s="12">
        <v>5047749.7</v>
      </c>
      <c r="F40" s="15">
        <v>22.13</v>
      </c>
      <c r="G40" s="15">
        <v>-0.61</v>
      </c>
      <c r="H40" s="15">
        <v>22.74</v>
      </c>
      <c r="I40" s="15">
        <v>299.35500000000002</v>
      </c>
      <c r="J40" t="s">
        <v>32</v>
      </c>
    </row>
    <row r="41" spans="1:10">
      <c r="A41" t="s">
        <v>26</v>
      </c>
      <c r="B41" s="12">
        <v>2212065</v>
      </c>
      <c r="C41" s="12">
        <v>5614138</v>
      </c>
      <c r="D41" s="12">
        <v>1302085.8999999999</v>
      </c>
      <c r="E41" s="12">
        <v>5052433.3</v>
      </c>
      <c r="F41" s="15">
        <v>35.99</v>
      </c>
      <c r="G41" s="15">
        <v>0.8</v>
      </c>
      <c r="H41" s="15">
        <v>35.190000000000005</v>
      </c>
      <c r="I41" s="15">
        <v>323.02199999999999</v>
      </c>
      <c r="J41" t="s">
        <v>20</v>
      </c>
    </row>
    <row r="42" spans="1:10">
      <c r="A42" t="s">
        <v>262</v>
      </c>
      <c r="B42" s="12">
        <v>2212648</v>
      </c>
      <c r="C42" s="12">
        <v>5612518</v>
      </c>
      <c r="D42" s="12">
        <v>1302670.3999999999</v>
      </c>
      <c r="E42" s="12">
        <v>5050812.4000000004</v>
      </c>
      <c r="F42" s="15">
        <v>1.45</v>
      </c>
      <c r="G42" s="15">
        <v>-0.8</v>
      </c>
      <c r="H42" s="15">
        <v>2.25</v>
      </c>
      <c r="I42" s="15">
        <v>317.97899999999998</v>
      </c>
      <c r="J42" t="s">
        <v>18</v>
      </c>
    </row>
    <row r="43" spans="1:10">
      <c r="A43" t="s">
        <v>10</v>
      </c>
      <c r="B43" s="12">
        <v>2212472</v>
      </c>
      <c r="C43" s="12">
        <v>5609033</v>
      </c>
      <c r="D43" s="12">
        <v>1302496.5</v>
      </c>
      <c r="E43" s="12">
        <v>5047324.5999999996</v>
      </c>
      <c r="F43" s="15">
        <v>18.02</v>
      </c>
      <c r="G43" s="15">
        <v>0.3</v>
      </c>
      <c r="H43" s="15">
        <v>17.72</v>
      </c>
      <c r="I43" s="15">
        <v>300.73599999999999</v>
      </c>
      <c r="J43" t="s">
        <v>269</v>
      </c>
    </row>
    <row r="44" spans="1:10">
      <c r="A44" t="s">
        <v>275</v>
      </c>
      <c r="B44" s="12">
        <v>2212329.7000000002</v>
      </c>
      <c r="C44" s="12">
        <v>5610740.0999999996</v>
      </c>
      <c r="D44" s="12">
        <v>1302352.54</v>
      </c>
      <c r="E44" s="12">
        <v>5049033.18</v>
      </c>
      <c r="F44" s="15">
        <v>0</v>
      </c>
      <c r="G44" s="15">
        <v>0</v>
      </c>
      <c r="H44" s="15">
        <v>310.77699999999999</v>
      </c>
      <c r="I44" s="15">
        <v>310.77699999999999</v>
      </c>
    </row>
    <row r="45" spans="1:10">
      <c r="A45" t="s">
        <v>360</v>
      </c>
      <c r="B45" s="12">
        <v>2212482.2999999998</v>
      </c>
      <c r="C45" s="12">
        <v>5615054.7000000002</v>
      </c>
      <c r="D45" s="12">
        <v>1302503.18</v>
      </c>
      <c r="E45" s="12">
        <v>5053350.66</v>
      </c>
      <c r="F45" s="15">
        <v>0</v>
      </c>
      <c r="G45" s="15">
        <v>0</v>
      </c>
      <c r="H45" s="15">
        <v>321.89999999999998</v>
      </c>
      <c r="I45" s="15">
        <v>321.89999999999998</v>
      </c>
    </row>
    <row r="46" spans="1:10">
      <c r="A46" t="s">
        <v>369</v>
      </c>
      <c r="B46" s="12">
        <v>2212457.6</v>
      </c>
      <c r="C46" s="12">
        <v>5612331.7999999998</v>
      </c>
      <c r="D46" s="12">
        <v>1302479.95</v>
      </c>
      <c r="E46" s="12">
        <v>5050625.63</v>
      </c>
      <c r="F46" s="15">
        <v>0</v>
      </c>
      <c r="G46" s="15">
        <v>0</v>
      </c>
      <c r="H46" s="15">
        <v>316</v>
      </c>
      <c r="I46" s="15">
        <v>316</v>
      </c>
    </row>
    <row r="47" spans="1:10">
      <c r="A47" t="s">
        <v>370</v>
      </c>
      <c r="B47" s="12">
        <v>2212220.6</v>
      </c>
      <c r="C47" s="12">
        <v>5611937.2999999998</v>
      </c>
      <c r="D47" s="12">
        <v>1302242.54</v>
      </c>
      <c r="E47" s="12">
        <v>5050230.8099999996</v>
      </c>
      <c r="F47" s="15">
        <v>0</v>
      </c>
      <c r="G47" s="15">
        <v>0</v>
      </c>
      <c r="H47" s="15">
        <v>315.60000000000002</v>
      </c>
      <c r="I47" s="15">
        <v>315.60000000000002</v>
      </c>
    </row>
    <row r="48" spans="1:10">
      <c r="A48" t="s">
        <v>371</v>
      </c>
      <c r="B48" s="12">
        <v>2212119.5</v>
      </c>
      <c r="C48" s="12">
        <v>5611684.5</v>
      </c>
      <c r="D48" s="12">
        <v>1302141.8999999999</v>
      </c>
      <c r="E48" s="12">
        <v>5049977.92</v>
      </c>
      <c r="F48" s="15">
        <v>0</v>
      </c>
      <c r="G48" s="15">
        <v>0</v>
      </c>
      <c r="H48" s="15">
        <v>315.5</v>
      </c>
      <c r="I48" s="15">
        <v>315.5</v>
      </c>
    </row>
    <row r="49" spans="1:9">
      <c r="A49" t="s">
        <v>372</v>
      </c>
      <c r="B49" s="12">
        <v>2212212.2000000002</v>
      </c>
      <c r="C49" s="12">
        <v>5611359.7000000002</v>
      </c>
      <c r="D49" s="12">
        <v>1302234.8</v>
      </c>
      <c r="E49" s="12">
        <v>5049652.78</v>
      </c>
      <c r="F49" s="15">
        <v>0</v>
      </c>
      <c r="G49" s="15">
        <v>0</v>
      </c>
      <c r="H49" s="15">
        <v>313.10000000000002</v>
      </c>
      <c r="I49" s="15">
        <v>313.10000000000002</v>
      </c>
    </row>
    <row r="50" spans="1:9">
      <c r="A50" t="s">
        <v>373</v>
      </c>
      <c r="B50" s="12">
        <v>2212220</v>
      </c>
      <c r="C50" s="12">
        <v>5611014</v>
      </c>
      <c r="D50" s="12">
        <v>1302242.54</v>
      </c>
      <c r="E50" s="12">
        <v>5049306.99</v>
      </c>
      <c r="F50" s="15">
        <v>0</v>
      </c>
      <c r="G50" s="15">
        <v>0</v>
      </c>
      <c r="H50" s="15">
        <v>312.5</v>
      </c>
      <c r="I50" s="15">
        <v>312.5</v>
      </c>
    </row>
    <row r="51" spans="1:9">
      <c r="A51" t="s">
        <v>374</v>
      </c>
      <c r="B51" s="12">
        <v>2212340.5</v>
      </c>
      <c r="C51" s="12">
        <v>5610426.4000000004</v>
      </c>
      <c r="D51" s="12">
        <v>1302363.83</v>
      </c>
      <c r="E51" s="12">
        <v>5048718.63</v>
      </c>
      <c r="F51" s="15">
        <v>0</v>
      </c>
      <c r="G51" s="15">
        <v>0</v>
      </c>
      <c r="H51" s="15">
        <v>310</v>
      </c>
      <c r="I51" s="15">
        <v>310</v>
      </c>
    </row>
    <row r="52" spans="1:9">
      <c r="A52" t="s">
        <v>375</v>
      </c>
      <c r="B52" s="12">
        <v>2212317.2999999998</v>
      </c>
      <c r="C52" s="12">
        <v>5610015.7000000002</v>
      </c>
      <c r="D52" s="12">
        <v>1302340.6000000001</v>
      </c>
      <c r="E52" s="12">
        <v>5048308.32</v>
      </c>
      <c r="F52" s="15">
        <v>0</v>
      </c>
      <c r="G52" s="15">
        <v>0</v>
      </c>
      <c r="H52" s="15">
        <v>309.60000000000002</v>
      </c>
      <c r="I52" s="15">
        <v>309.60000000000002</v>
      </c>
    </row>
    <row r="53" spans="1:9">
      <c r="A53" t="s">
        <v>376</v>
      </c>
      <c r="B53" s="12">
        <v>2212280.2000000002</v>
      </c>
      <c r="C53" s="12">
        <v>5609781.9000000004</v>
      </c>
      <c r="D53" s="12">
        <v>1302304.48</v>
      </c>
      <c r="E53" s="12">
        <v>5048073.5</v>
      </c>
      <c r="F53" s="15">
        <v>0</v>
      </c>
      <c r="G53" s="15">
        <v>0</v>
      </c>
      <c r="H53" s="15">
        <v>308.2</v>
      </c>
      <c r="I53" s="15">
        <v>308.2</v>
      </c>
    </row>
    <row r="54" spans="1:9">
      <c r="A54" t="s">
        <v>377</v>
      </c>
      <c r="B54" s="12">
        <v>2212316.9</v>
      </c>
      <c r="C54" s="12">
        <v>5609423.2000000002</v>
      </c>
      <c r="D54" s="12">
        <v>1302340.6000000001</v>
      </c>
      <c r="E54" s="12">
        <v>5047714.8</v>
      </c>
      <c r="F54" s="15">
        <v>0</v>
      </c>
      <c r="G54" s="15">
        <v>0</v>
      </c>
      <c r="H54" s="15">
        <v>306.8</v>
      </c>
      <c r="I54" s="15">
        <v>306.8</v>
      </c>
    </row>
    <row r="55" spans="1:9">
      <c r="A55" t="s">
        <v>378</v>
      </c>
      <c r="B55" s="12">
        <v>2212308.7000000002</v>
      </c>
      <c r="C55" s="12">
        <v>5609178.4000000004</v>
      </c>
      <c r="D55" s="12">
        <v>1302332.8600000001</v>
      </c>
      <c r="E55" s="12">
        <v>5047469.66</v>
      </c>
      <c r="F55" s="15">
        <v>0</v>
      </c>
      <c r="G55" s="15">
        <v>0</v>
      </c>
      <c r="H55" s="15">
        <v>305.7</v>
      </c>
      <c r="I55" s="15">
        <v>305.7</v>
      </c>
    </row>
    <row r="56" spans="1:9">
      <c r="A56" t="s">
        <v>361</v>
      </c>
      <c r="B56" s="12">
        <v>2212480.1</v>
      </c>
      <c r="C56" s="12">
        <v>5614801.9000000004</v>
      </c>
      <c r="D56" s="12">
        <v>1302500.6000000001</v>
      </c>
      <c r="E56" s="12">
        <v>5053097.7699999996</v>
      </c>
      <c r="F56" s="15">
        <v>0</v>
      </c>
      <c r="G56" s="15">
        <v>0</v>
      </c>
      <c r="H56" s="15">
        <v>321.60000000000002</v>
      </c>
      <c r="I56" s="15">
        <v>321.60000000000002</v>
      </c>
    </row>
    <row r="57" spans="1:9">
      <c r="A57" t="s">
        <v>379</v>
      </c>
      <c r="B57" s="12">
        <v>2212184.7999999998</v>
      </c>
      <c r="C57" s="12">
        <v>5609051.5</v>
      </c>
      <c r="D57" s="12">
        <v>1302209</v>
      </c>
      <c r="E57" s="12">
        <v>5047343.21</v>
      </c>
      <c r="F57" s="15">
        <v>0</v>
      </c>
      <c r="G57" s="15">
        <v>0</v>
      </c>
      <c r="H57" s="15">
        <v>305</v>
      </c>
      <c r="I57" s="15">
        <v>305</v>
      </c>
    </row>
    <row r="58" spans="1:9">
      <c r="A58" t="s">
        <v>380</v>
      </c>
      <c r="B58" s="12">
        <v>2211851.7999999998</v>
      </c>
      <c r="C58" s="12">
        <v>5608779</v>
      </c>
      <c r="D58" s="12">
        <v>1301876.1100000001</v>
      </c>
      <c r="E58" s="12">
        <v>5047069.67</v>
      </c>
      <c r="F58" s="15">
        <v>0</v>
      </c>
      <c r="G58" s="15">
        <v>0</v>
      </c>
      <c r="H58" s="15">
        <v>303</v>
      </c>
      <c r="I58" s="15">
        <v>303</v>
      </c>
    </row>
    <row r="59" spans="1:9">
      <c r="A59" t="s">
        <v>381</v>
      </c>
      <c r="B59" s="12">
        <v>2211403</v>
      </c>
      <c r="C59" s="12">
        <v>5608477.5</v>
      </c>
      <c r="D59" s="12">
        <v>1301427.1000000001</v>
      </c>
      <c r="E59" s="12">
        <v>5046767.76</v>
      </c>
      <c r="F59" s="15">
        <v>0</v>
      </c>
      <c r="G59" s="15">
        <v>0</v>
      </c>
      <c r="H59" s="15">
        <v>301.8</v>
      </c>
      <c r="I59" s="15">
        <v>301.8</v>
      </c>
    </row>
    <row r="60" spans="1:9">
      <c r="A60" t="s">
        <v>382</v>
      </c>
      <c r="B60" s="12">
        <v>2211055.4</v>
      </c>
      <c r="C60" s="12">
        <v>5608606.5999999996</v>
      </c>
      <c r="D60" s="12">
        <v>1301078.73</v>
      </c>
      <c r="E60" s="12">
        <v>5046896.78</v>
      </c>
      <c r="F60" s="15">
        <v>0</v>
      </c>
      <c r="G60" s="15">
        <v>0</v>
      </c>
      <c r="H60" s="15">
        <v>301</v>
      </c>
      <c r="I60" s="15">
        <v>301</v>
      </c>
    </row>
    <row r="61" spans="1:9">
      <c r="A61" t="s">
        <v>383</v>
      </c>
      <c r="B61" s="12">
        <v>2210683.7000000002</v>
      </c>
      <c r="C61" s="12">
        <v>5608634.7999999998</v>
      </c>
      <c r="D61" s="12">
        <v>1300707.1299999999</v>
      </c>
      <c r="E61" s="12">
        <v>5046925.17</v>
      </c>
      <c r="F61" s="15">
        <v>0</v>
      </c>
      <c r="G61" s="15">
        <v>0</v>
      </c>
      <c r="H61" s="15">
        <v>299.3</v>
      </c>
      <c r="I61" s="15">
        <v>299.3</v>
      </c>
    </row>
    <row r="62" spans="1:9">
      <c r="A62" t="s">
        <v>384</v>
      </c>
      <c r="B62" s="12">
        <v>2209822.2999999998</v>
      </c>
      <c r="C62" s="12">
        <v>5608617.4000000004</v>
      </c>
      <c r="D62" s="12">
        <v>1299845.25</v>
      </c>
      <c r="E62" s="12">
        <v>5046907.1100000003</v>
      </c>
      <c r="F62" s="15">
        <v>0</v>
      </c>
      <c r="G62" s="15">
        <v>0</v>
      </c>
      <c r="H62" s="15">
        <v>293.5</v>
      </c>
      <c r="I62" s="15">
        <v>293.5</v>
      </c>
    </row>
    <row r="63" spans="1:9">
      <c r="A63" t="s">
        <v>385</v>
      </c>
      <c r="B63" s="12">
        <v>2209789.7999999998</v>
      </c>
      <c r="C63" s="12">
        <v>5609274.9000000004</v>
      </c>
      <c r="D63" s="12">
        <v>1299811.69</v>
      </c>
      <c r="E63" s="12">
        <v>5047565.13</v>
      </c>
      <c r="F63" s="15">
        <v>0</v>
      </c>
      <c r="G63" s="15">
        <v>0</v>
      </c>
      <c r="H63" s="15">
        <v>288.7</v>
      </c>
      <c r="I63" s="15">
        <v>288.7</v>
      </c>
    </row>
    <row r="64" spans="1:9">
      <c r="A64" t="s">
        <v>386</v>
      </c>
      <c r="B64" s="12">
        <v>2209680.6</v>
      </c>
      <c r="C64" s="12">
        <v>5608865.2999999998</v>
      </c>
      <c r="D64" s="12">
        <v>1299703.31</v>
      </c>
      <c r="E64" s="12">
        <v>5047154.84</v>
      </c>
      <c r="F64" s="15">
        <v>0</v>
      </c>
      <c r="G64" s="15">
        <v>0</v>
      </c>
      <c r="H64" s="15">
        <v>286.35000000000002</v>
      </c>
      <c r="I64" s="15">
        <v>286.35000000000002</v>
      </c>
    </row>
    <row r="65" spans="1:9">
      <c r="A65" t="s">
        <v>387</v>
      </c>
      <c r="B65" s="12">
        <v>2210047.4</v>
      </c>
      <c r="C65" s="12">
        <v>5608935</v>
      </c>
      <c r="D65" s="12">
        <v>1300069.75</v>
      </c>
      <c r="E65" s="12">
        <v>5047224.51</v>
      </c>
      <c r="F65" s="15">
        <v>0</v>
      </c>
      <c r="G65" s="15">
        <v>0</v>
      </c>
      <c r="H65" s="15">
        <v>291.85000000000002</v>
      </c>
      <c r="I65" s="15">
        <v>291.85000000000002</v>
      </c>
    </row>
    <row r="66" spans="1:9">
      <c r="A66" t="s">
        <v>388</v>
      </c>
      <c r="B66" s="12">
        <v>2209273.7999999998</v>
      </c>
      <c r="C66" s="12">
        <v>5608702.7000000002</v>
      </c>
      <c r="D66" s="12">
        <v>1299295.5900000001</v>
      </c>
      <c r="E66" s="12">
        <v>5046992.26</v>
      </c>
      <c r="F66" s="15">
        <v>0</v>
      </c>
      <c r="G66" s="15">
        <v>0</v>
      </c>
      <c r="H66" s="15">
        <v>285.39999999999998</v>
      </c>
      <c r="I66" s="15">
        <v>285.39999999999998</v>
      </c>
    </row>
    <row r="67" spans="1:9">
      <c r="A67" t="s">
        <v>362</v>
      </c>
      <c r="B67" s="12">
        <v>2212476.9</v>
      </c>
      <c r="C67" s="12">
        <v>5614484.2000000002</v>
      </c>
      <c r="D67" s="12">
        <v>1302498.02</v>
      </c>
      <c r="E67" s="12">
        <v>5052780.3600000003</v>
      </c>
      <c r="F67" s="15">
        <v>0</v>
      </c>
      <c r="G67" s="15">
        <v>0</v>
      </c>
      <c r="H67" s="15">
        <v>321.10000000000002</v>
      </c>
      <c r="I67" s="15">
        <v>321.10000000000002</v>
      </c>
    </row>
    <row r="68" spans="1:9">
      <c r="A68" t="s">
        <v>389</v>
      </c>
      <c r="B68" s="12">
        <v>2208825.2000000002</v>
      </c>
      <c r="C68" s="12">
        <v>5608736.9000000004</v>
      </c>
      <c r="D68" s="12">
        <v>1298846.58</v>
      </c>
      <c r="E68" s="12">
        <v>5047025.8099999996</v>
      </c>
      <c r="F68" s="15">
        <v>0</v>
      </c>
      <c r="G68" s="15">
        <v>0</v>
      </c>
      <c r="H68" s="15">
        <v>283.75</v>
      </c>
      <c r="I68" s="15">
        <v>283.75</v>
      </c>
    </row>
    <row r="69" spans="1:9">
      <c r="A69" t="s">
        <v>390</v>
      </c>
      <c r="B69" s="12">
        <v>2208618.1</v>
      </c>
      <c r="C69" s="12">
        <v>5608329.4000000004</v>
      </c>
      <c r="D69" s="12">
        <v>1298640.1399999999</v>
      </c>
      <c r="E69" s="12">
        <v>5046618.09</v>
      </c>
      <c r="F69" s="15">
        <v>0</v>
      </c>
      <c r="G69" s="15">
        <v>0</v>
      </c>
      <c r="H69" s="15">
        <v>280.60000000000002</v>
      </c>
      <c r="I69" s="15">
        <v>280.60000000000002</v>
      </c>
    </row>
    <row r="70" spans="1:9">
      <c r="A70" t="s">
        <v>391</v>
      </c>
      <c r="B70" s="12">
        <v>2209182.6</v>
      </c>
      <c r="C70" s="12">
        <v>5608177.2000000002</v>
      </c>
      <c r="D70" s="12">
        <v>1299205.28</v>
      </c>
      <c r="E70" s="12">
        <v>5046465.84</v>
      </c>
      <c r="F70" s="15">
        <v>0</v>
      </c>
      <c r="G70" s="15">
        <v>0</v>
      </c>
      <c r="H70" s="15">
        <v>278.64999999999998</v>
      </c>
      <c r="I70" s="15">
        <v>278.64999999999998</v>
      </c>
    </row>
    <row r="71" spans="1:9">
      <c r="A71" t="s">
        <v>392</v>
      </c>
      <c r="B71" s="12">
        <v>2209061.4</v>
      </c>
      <c r="C71" s="12">
        <v>5607847.5</v>
      </c>
      <c r="D71" s="12">
        <v>1299083.99</v>
      </c>
      <c r="E71" s="12">
        <v>5046135.53</v>
      </c>
      <c r="F71" s="15">
        <v>0</v>
      </c>
      <c r="G71" s="15">
        <v>0</v>
      </c>
      <c r="H71" s="15">
        <v>276.5</v>
      </c>
      <c r="I71" s="15">
        <v>276.5</v>
      </c>
    </row>
    <row r="72" spans="1:9">
      <c r="A72" t="s">
        <v>393</v>
      </c>
      <c r="B72" s="12">
        <v>2208775.7000000002</v>
      </c>
      <c r="C72" s="12">
        <v>5607911.5999999996</v>
      </c>
      <c r="D72" s="12">
        <v>1298797.55</v>
      </c>
      <c r="E72" s="12">
        <v>5046200.04</v>
      </c>
      <c r="F72" s="15">
        <v>0</v>
      </c>
      <c r="G72" s="15">
        <v>0</v>
      </c>
      <c r="H72" s="15">
        <v>275.60000000000002</v>
      </c>
      <c r="I72" s="15">
        <v>275.60000000000002</v>
      </c>
    </row>
    <row r="73" spans="1:9">
      <c r="A73" t="s">
        <v>394</v>
      </c>
      <c r="B73" s="12">
        <v>2208460.7999999998</v>
      </c>
      <c r="C73" s="12">
        <v>5607729</v>
      </c>
      <c r="D73" s="12">
        <v>1298482.73</v>
      </c>
      <c r="E73" s="12">
        <v>5046016.83</v>
      </c>
      <c r="F73" s="15">
        <v>0</v>
      </c>
      <c r="G73" s="15">
        <v>0</v>
      </c>
      <c r="H73" s="15">
        <v>272.89999999999998</v>
      </c>
      <c r="I73" s="15">
        <v>272.89999999999998</v>
      </c>
    </row>
    <row r="74" spans="1:9">
      <c r="A74" t="s">
        <v>395</v>
      </c>
      <c r="B74" s="12">
        <v>2208501.5</v>
      </c>
      <c r="C74" s="12">
        <v>5607259.2999999998</v>
      </c>
      <c r="D74" s="12">
        <v>1298524.01</v>
      </c>
      <c r="E74" s="12">
        <v>5045547.17</v>
      </c>
      <c r="F74" s="15">
        <v>0</v>
      </c>
      <c r="G74" s="15">
        <v>0</v>
      </c>
      <c r="H74" s="15">
        <v>272.3</v>
      </c>
      <c r="I74" s="15">
        <v>272.3</v>
      </c>
    </row>
    <row r="75" spans="1:9">
      <c r="A75" t="s">
        <v>363</v>
      </c>
      <c r="B75" s="12">
        <v>2212479.7000000002</v>
      </c>
      <c r="C75" s="12">
        <v>5614095.5</v>
      </c>
      <c r="D75" s="12">
        <v>1302500.6000000001</v>
      </c>
      <c r="E75" s="12">
        <v>5052390.7</v>
      </c>
      <c r="F75" s="15">
        <v>0</v>
      </c>
      <c r="G75" s="15">
        <v>0</v>
      </c>
      <c r="H75" s="15">
        <v>320</v>
      </c>
      <c r="I75" s="15">
        <v>320</v>
      </c>
    </row>
    <row r="76" spans="1:9">
      <c r="A76" t="s">
        <v>364</v>
      </c>
      <c r="B76" s="12">
        <v>2212706.2999999998</v>
      </c>
      <c r="C76" s="12">
        <v>5613749.5999999996</v>
      </c>
      <c r="D76" s="12">
        <v>1302727.6799999999</v>
      </c>
      <c r="E76" s="12">
        <v>5052044.91</v>
      </c>
      <c r="F76" s="15">
        <v>0</v>
      </c>
      <c r="G76" s="15">
        <v>0</v>
      </c>
      <c r="H76" s="15">
        <v>318.5</v>
      </c>
      <c r="I76" s="15">
        <v>318.5</v>
      </c>
    </row>
    <row r="77" spans="1:9">
      <c r="A77" t="s">
        <v>365</v>
      </c>
      <c r="B77" s="12">
        <v>2212847.9</v>
      </c>
      <c r="C77" s="12">
        <v>5613323.7999999998</v>
      </c>
      <c r="D77" s="12">
        <v>1302869.6100000001</v>
      </c>
      <c r="E77" s="12">
        <v>5051619.13</v>
      </c>
      <c r="F77" s="15">
        <v>0</v>
      </c>
      <c r="G77" s="15">
        <v>0</v>
      </c>
      <c r="H77" s="15">
        <v>318.3</v>
      </c>
      <c r="I77" s="15">
        <v>318.3</v>
      </c>
    </row>
    <row r="78" spans="1:9">
      <c r="A78" t="s">
        <v>366</v>
      </c>
      <c r="B78" s="12">
        <v>2212896.6</v>
      </c>
      <c r="C78" s="12">
        <v>5612898.0999999996</v>
      </c>
      <c r="D78" s="12">
        <v>1302918.6399999999</v>
      </c>
      <c r="E78" s="12">
        <v>5051193.3499999996</v>
      </c>
      <c r="F78" s="15">
        <v>0</v>
      </c>
      <c r="G78" s="15">
        <v>0</v>
      </c>
      <c r="H78" s="15">
        <v>316.2</v>
      </c>
      <c r="I78" s="15">
        <v>316.2</v>
      </c>
    </row>
    <row r="79" spans="1:9">
      <c r="A79" t="s">
        <v>367</v>
      </c>
      <c r="B79" s="12">
        <v>2212764.5</v>
      </c>
      <c r="C79" s="12">
        <v>5612498.5</v>
      </c>
      <c r="D79" s="12">
        <v>1302787.03</v>
      </c>
      <c r="E79" s="12">
        <v>5050793.37</v>
      </c>
      <c r="F79" s="15">
        <v>0</v>
      </c>
      <c r="G79" s="15">
        <v>0</v>
      </c>
      <c r="H79" s="15">
        <v>316.14999999999998</v>
      </c>
      <c r="I79" s="15">
        <v>316.14999999999998</v>
      </c>
    </row>
    <row r="80" spans="1:9">
      <c r="A80" t="s">
        <v>368</v>
      </c>
      <c r="B80" s="12">
        <v>2212638.6</v>
      </c>
      <c r="C80" s="12">
        <v>5612483.5999999996</v>
      </c>
      <c r="D80" s="12">
        <v>1302660.58</v>
      </c>
      <c r="E80" s="12">
        <v>5050777.88</v>
      </c>
      <c r="F80" s="15">
        <v>0</v>
      </c>
      <c r="G80" s="15">
        <v>0</v>
      </c>
      <c r="H80" s="15">
        <v>316.10000000000002</v>
      </c>
      <c r="I80" s="15">
        <v>316.10000000000002</v>
      </c>
    </row>
    <row r="81" spans="1:9">
      <c r="A81" t="s">
        <v>273</v>
      </c>
      <c r="B81" s="12">
        <v>2212405.5</v>
      </c>
      <c r="C81" s="12">
        <v>5615345.5</v>
      </c>
      <c r="D81" s="12">
        <v>1302426.2</v>
      </c>
      <c r="E81" s="12">
        <v>5053642.12</v>
      </c>
      <c r="F81" s="15">
        <v>0</v>
      </c>
      <c r="G81" s="15">
        <v>0</v>
      </c>
      <c r="H81" s="15">
        <v>340.49200000000002</v>
      </c>
      <c r="I81" s="15">
        <v>340.49200000000002</v>
      </c>
    </row>
    <row r="82" spans="1:9">
      <c r="A82" t="s">
        <v>310</v>
      </c>
      <c r="B82" s="12">
        <v>2212251.7000000002</v>
      </c>
      <c r="C82" s="12">
        <v>5615438.5999999996</v>
      </c>
      <c r="D82" s="12">
        <v>1302272.1299999999</v>
      </c>
      <c r="E82" s="12">
        <v>5053734.71</v>
      </c>
      <c r="F82" s="15">
        <v>0</v>
      </c>
      <c r="G82" s="15">
        <v>0</v>
      </c>
      <c r="H82" s="15">
        <v>340.49200000000002</v>
      </c>
      <c r="I82" s="15">
        <v>340.49200000000002</v>
      </c>
    </row>
    <row r="83" spans="1:9">
      <c r="A83" t="s">
        <v>319</v>
      </c>
      <c r="B83" s="12">
        <v>2216003.1</v>
      </c>
      <c r="C83" s="12">
        <v>5615853</v>
      </c>
      <c r="D83" s="12">
        <v>1306025.83</v>
      </c>
      <c r="E83" s="12">
        <v>5054151.78</v>
      </c>
      <c r="F83" s="15">
        <v>0</v>
      </c>
      <c r="G83" s="15">
        <v>0</v>
      </c>
      <c r="H83" s="15">
        <v>340.49200000000002</v>
      </c>
      <c r="I83" s="15">
        <v>340.49200000000002</v>
      </c>
    </row>
    <row r="84" spans="1:9">
      <c r="A84" t="s">
        <v>320</v>
      </c>
      <c r="B84" s="12">
        <v>2216272</v>
      </c>
      <c r="C84" s="12">
        <v>5616063.7000000002</v>
      </c>
      <c r="D84" s="12">
        <v>1306295.0900000001</v>
      </c>
      <c r="E84" s="12">
        <v>5054362.96</v>
      </c>
      <c r="F84" s="15">
        <v>0</v>
      </c>
      <c r="G84" s="15">
        <v>0</v>
      </c>
      <c r="H84" s="15">
        <v>340.49200000000002</v>
      </c>
      <c r="I84" s="15">
        <v>340.49200000000002</v>
      </c>
    </row>
    <row r="85" spans="1:9">
      <c r="A85" t="s">
        <v>321</v>
      </c>
      <c r="B85" s="12">
        <v>2216552</v>
      </c>
      <c r="C85" s="12">
        <v>5616332.2999999998</v>
      </c>
      <c r="D85" s="12">
        <v>1306574.8899999999</v>
      </c>
      <c r="E85" s="12">
        <v>5054632.22</v>
      </c>
      <c r="F85" s="15">
        <v>0</v>
      </c>
      <c r="G85" s="15">
        <v>0</v>
      </c>
      <c r="H85" s="15">
        <v>340.49200000000002</v>
      </c>
      <c r="I85" s="15">
        <v>340.49200000000002</v>
      </c>
    </row>
    <row r="86" spans="1:9">
      <c r="A86" t="s">
        <v>322</v>
      </c>
      <c r="B86" s="12">
        <v>2216768</v>
      </c>
      <c r="C86" s="12">
        <v>5616623</v>
      </c>
      <c r="D86" s="12">
        <v>1306791.3600000001</v>
      </c>
      <c r="E86" s="12">
        <v>5054922.59</v>
      </c>
      <c r="F86" s="15">
        <v>0</v>
      </c>
      <c r="G86" s="15">
        <v>0</v>
      </c>
      <c r="H86" s="15">
        <v>340.49200000000002</v>
      </c>
      <c r="I86" s="15">
        <v>340.49200000000002</v>
      </c>
    </row>
    <row r="87" spans="1:9">
      <c r="A87" t="s">
        <v>323</v>
      </c>
      <c r="B87" s="12">
        <v>2216853.1</v>
      </c>
      <c r="C87" s="12">
        <v>5616917.7000000002</v>
      </c>
      <c r="D87" s="12">
        <v>1306875.83</v>
      </c>
      <c r="E87" s="12">
        <v>5055218.24</v>
      </c>
      <c r="F87" s="15">
        <v>0</v>
      </c>
      <c r="G87" s="15">
        <v>0</v>
      </c>
      <c r="H87" s="15">
        <v>340.49200000000002</v>
      </c>
      <c r="I87" s="15">
        <v>340.49200000000002</v>
      </c>
    </row>
    <row r="88" spans="1:9">
      <c r="A88" t="s">
        <v>324</v>
      </c>
      <c r="B88" s="12">
        <v>2217022.1</v>
      </c>
      <c r="C88" s="12">
        <v>5617055.5</v>
      </c>
      <c r="D88" s="12">
        <v>1307044.76</v>
      </c>
      <c r="E88" s="12">
        <v>5055355.5</v>
      </c>
      <c r="F88" s="15">
        <v>0</v>
      </c>
      <c r="G88" s="15">
        <v>0</v>
      </c>
      <c r="H88" s="15">
        <v>340.49200000000002</v>
      </c>
      <c r="I88" s="15">
        <v>340.49200000000002</v>
      </c>
    </row>
    <row r="89" spans="1:9">
      <c r="A89" t="s">
        <v>325</v>
      </c>
      <c r="B89" s="12">
        <v>2217169.9</v>
      </c>
      <c r="C89" s="12">
        <v>5617028.5</v>
      </c>
      <c r="D89" s="12">
        <v>1307192.5900000001</v>
      </c>
      <c r="E89" s="12">
        <v>5055329.0999999996</v>
      </c>
      <c r="F89" s="15">
        <v>0</v>
      </c>
      <c r="G89" s="15">
        <v>0</v>
      </c>
      <c r="H89" s="15">
        <v>340.49200000000002</v>
      </c>
      <c r="I89" s="15">
        <v>340.49200000000002</v>
      </c>
    </row>
    <row r="90" spans="1:9">
      <c r="A90" t="s">
        <v>326</v>
      </c>
      <c r="B90" s="12">
        <v>2217269.9</v>
      </c>
      <c r="C90" s="12">
        <v>5617139.2999999998</v>
      </c>
      <c r="D90" s="12">
        <v>1307292.8999999999</v>
      </c>
      <c r="E90" s="12">
        <v>5055439.97</v>
      </c>
      <c r="F90" s="15">
        <v>0</v>
      </c>
      <c r="G90" s="15">
        <v>0</v>
      </c>
      <c r="H90" s="15">
        <v>340.49200000000002</v>
      </c>
      <c r="I90" s="15">
        <v>340.49200000000002</v>
      </c>
    </row>
    <row r="91" spans="1:9">
      <c r="A91" t="s">
        <v>327</v>
      </c>
      <c r="B91" s="12">
        <v>2217386</v>
      </c>
      <c r="C91" s="12">
        <v>5617313.0999999996</v>
      </c>
      <c r="D91" s="12">
        <v>1307409.05</v>
      </c>
      <c r="E91" s="12">
        <v>5055614.2</v>
      </c>
      <c r="F91" s="15">
        <v>0</v>
      </c>
      <c r="G91" s="15">
        <v>0</v>
      </c>
      <c r="H91" s="15">
        <v>340.49200000000002</v>
      </c>
      <c r="I91" s="15">
        <v>340.49200000000002</v>
      </c>
    </row>
    <row r="92" spans="1:9">
      <c r="A92" t="s">
        <v>328</v>
      </c>
      <c r="B92" s="12">
        <v>2217691.7999999998</v>
      </c>
      <c r="C92" s="12">
        <v>5617449.7999999998</v>
      </c>
      <c r="D92" s="12">
        <v>1307715.26</v>
      </c>
      <c r="E92" s="12">
        <v>5055751.46</v>
      </c>
      <c r="F92" s="15">
        <v>0</v>
      </c>
      <c r="G92" s="15">
        <v>0</v>
      </c>
      <c r="H92" s="15">
        <v>340.49200000000002</v>
      </c>
      <c r="I92" s="15">
        <v>340.49200000000002</v>
      </c>
    </row>
    <row r="93" spans="1:9">
      <c r="A93" t="s">
        <v>311</v>
      </c>
      <c r="B93" s="12">
        <v>2212800.2999999998</v>
      </c>
      <c r="C93" s="12">
        <v>5615448.2000000002</v>
      </c>
      <c r="D93" s="12">
        <v>1302821.2</v>
      </c>
      <c r="E93" s="12">
        <v>5053745.2699999996</v>
      </c>
      <c r="F93" s="15">
        <v>0</v>
      </c>
      <c r="G93" s="15">
        <v>0</v>
      </c>
      <c r="H93" s="15">
        <v>340.49200000000002</v>
      </c>
      <c r="I93" s="15">
        <v>340.49200000000002</v>
      </c>
    </row>
    <row r="94" spans="1:9">
      <c r="A94" t="s">
        <v>329</v>
      </c>
      <c r="B94" s="12">
        <v>2212268.2000000002</v>
      </c>
      <c r="C94" s="12">
        <v>5616376.7999999998</v>
      </c>
      <c r="D94" s="12">
        <v>1302287.97</v>
      </c>
      <c r="E94" s="12">
        <v>5054674.45</v>
      </c>
      <c r="F94" s="15">
        <v>0</v>
      </c>
      <c r="G94" s="15">
        <v>0</v>
      </c>
      <c r="H94" s="15">
        <v>340.49200000000002</v>
      </c>
      <c r="I94" s="15">
        <v>340.49200000000002</v>
      </c>
    </row>
    <row r="95" spans="1:9">
      <c r="A95" t="s">
        <v>330</v>
      </c>
      <c r="B95" s="12">
        <v>2212543.5</v>
      </c>
      <c r="C95" s="12">
        <v>5617242</v>
      </c>
      <c r="D95" s="12">
        <v>1302562.5</v>
      </c>
      <c r="E95" s="12">
        <v>5055540.28</v>
      </c>
      <c r="F95" s="15">
        <v>0</v>
      </c>
      <c r="G95" s="15">
        <v>0</v>
      </c>
      <c r="H95" s="15">
        <v>340.49200000000002</v>
      </c>
      <c r="I95" s="15">
        <v>340.49200000000002</v>
      </c>
    </row>
    <row r="96" spans="1:9">
      <c r="A96" t="s">
        <v>331</v>
      </c>
      <c r="B96" s="12">
        <v>2212849</v>
      </c>
      <c r="C96" s="12">
        <v>5616772.2000000002</v>
      </c>
      <c r="D96" s="12">
        <v>1302868.71</v>
      </c>
      <c r="E96" s="12">
        <v>5055070.41</v>
      </c>
      <c r="F96" s="15">
        <v>0</v>
      </c>
      <c r="G96" s="15">
        <v>0</v>
      </c>
      <c r="H96" s="15">
        <v>340.49200000000002</v>
      </c>
      <c r="I96" s="15">
        <v>340.49200000000002</v>
      </c>
    </row>
    <row r="97" spans="1:10">
      <c r="A97" t="s">
        <v>332</v>
      </c>
      <c r="B97" s="12">
        <v>2213476.2000000002</v>
      </c>
      <c r="C97" s="12">
        <v>5616128.2999999998</v>
      </c>
      <c r="D97" s="12">
        <v>1303496.97</v>
      </c>
      <c r="E97" s="12">
        <v>5054426.32</v>
      </c>
      <c r="F97" s="15">
        <v>0</v>
      </c>
      <c r="G97" s="15">
        <v>0</v>
      </c>
      <c r="H97" s="15">
        <v>340.49200000000002</v>
      </c>
      <c r="I97" s="15">
        <v>340.49200000000002</v>
      </c>
    </row>
    <row r="98" spans="1:10">
      <c r="A98" t="s">
        <v>333</v>
      </c>
      <c r="B98" s="12">
        <v>2212557.7999999998</v>
      </c>
      <c r="C98" s="12">
        <v>5615929</v>
      </c>
      <c r="D98" s="12">
        <v>1302578.3400000001</v>
      </c>
      <c r="E98" s="12">
        <v>5054225.7</v>
      </c>
      <c r="F98" s="15">
        <v>0</v>
      </c>
      <c r="G98" s="15">
        <v>0</v>
      </c>
      <c r="H98" s="15">
        <v>340.49200000000002</v>
      </c>
      <c r="I98" s="15">
        <v>340.49200000000002</v>
      </c>
    </row>
    <row r="99" spans="1:10">
      <c r="A99" t="s">
        <v>334</v>
      </c>
      <c r="B99" s="12">
        <v>2217793</v>
      </c>
      <c r="C99" s="12">
        <v>5617967.4000000004</v>
      </c>
      <c r="D99" s="12">
        <v>1307815.57</v>
      </c>
      <c r="E99" s="12">
        <v>5056268.8499999996</v>
      </c>
      <c r="F99" s="15">
        <v>0</v>
      </c>
      <c r="G99" s="15">
        <v>0</v>
      </c>
      <c r="H99" s="15">
        <v>340.49200000000002</v>
      </c>
      <c r="I99" s="15">
        <v>340.49200000000002</v>
      </c>
    </row>
    <row r="100" spans="1:10">
      <c r="A100" t="s">
        <v>335</v>
      </c>
      <c r="B100" s="12">
        <v>2217418.2000000002</v>
      </c>
      <c r="C100" s="12">
        <v>5617698.7999999998</v>
      </c>
      <c r="D100" s="12">
        <v>1307440.72</v>
      </c>
      <c r="E100" s="12">
        <v>5055999.5999999996</v>
      </c>
      <c r="F100" s="15">
        <v>0</v>
      </c>
      <c r="G100" s="15">
        <v>0</v>
      </c>
      <c r="H100" s="15">
        <v>340.49200000000002</v>
      </c>
      <c r="I100" s="15">
        <v>340.49200000000002</v>
      </c>
    </row>
    <row r="101" spans="1:10">
      <c r="A101" t="s">
        <v>336</v>
      </c>
      <c r="B101" s="12">
        <v>2216615.6</v>
      </c>
      <c r="C101" s="12">
        <v>5617377.5</v>
      </c>
      <c r="D101" s="12">
        <v>1306638.25</v>
      </c>
      <c r="E101" s="12">
        <v>5055677.55</v>
      </c>
      <c r="F101" s="15">
        <v>0</v>
      </c>
      <c r="G101" s="15">
        <v>0</v>
      </c>
      <c r="H101" s="15">
        <v>340.49200000000002</v>
      </c>
      <c r="I101" s="15">
        <v>340.49200000000002</v>
      </c>
    </row>
    <row r="102" spans="1:10">
      <c r="A102" t="s">
        <v>337</v>
      </c>
      <c r="B102" s="12">
        <v>2216024.6</v>
      </c>
      <c r="C102" s="12">
        <v>5616649.4000000004</v>
      </c>
      <c r="D102" s="12">
        <v>1306046.95</v>
      </c>
      <c r="E102" s="12">
        <v>5054948.9800000004</v>
      </c>
      <c r="F102" s="15">
        <v>0</v>
      </c>
      <c r="G102" s="15">
        <v>0</v>
      </c>
      <c r="H102" s="15">
        <v>340.49200000000002</v>
      </c>
      <c r="I102" s="15">
        <v>340.49200000000002</v>
      </c>
    </row>
    <row r="103" spans="1:10">
      <c r="A103" t="s">
        <v>338</v>
      </c>
      <c r="B103" s="12">
        <v>2215264.9</v>
      </c>
      <c r="C103" s="12">
        <v>5616259.2000000002</v>
      </c>
      <c r="D103" s="12">
        <v>1305286.7</v>
      </c>
      <c r="E103" s="12">
        <v>5054558.3</v>
      </c>
      <c r="F103" s="15">
        <v>0</v>
      </c>
      <c r="G103" s="15">
        <v>0</v>
      </c>
      <c r="H103" s="15">
        <v>340.49200000000002</v>
      </c>
      <c r="I103" s="15">
        <v>340.49200000000002</v>
      </c>
    </row>
    <row r="104" spans="1:10">
      <c r="A104" t="s">
        <v>312</v>
      </c>
      <c r="B104" s="12">
        <v>2213259.9</v>
      </c>
      <c r="C104" s="12">
        <v>5615443</v>
      </c>
      <c r="D104" s="12">
        <v>1303280.51</v>
      </c>
      <c r="E104" s="12">
        <v>5053739.99</v>
      </c>
      <c r="F104" s="15">
        <v>0</v>
      </c>
      <c r="G104" s="15">
        <v>0</v>
      </c>
      <c r="H104" s="15">
        <v>340.49200000000002</v>
      </c>
      <c r="I104" s="15">
        <v>340.49200000000002</v>
      </c>
      <c r="J104" s="24"/>
    </row>
    <row r="105" spans="1:10">
      <c r="A105" t="s">
        <v>339</v>
      </c>
      <c r="B105" s="12">
        <v>2214288.5</v>
      </c>
      <c r="C105" s="12">
        <v>5616080.9000000004</v>
      </c>
      <c r="D105" s="12">
        <v>1304310.01</v>
      </c>
      <c r="E105" s="12">
        <v>5054378.8</v>
      </c>
      <c r="F105" s="15">
        <v>0</v>
      </c>
      <c r="G105" s="15">
        <v>0</v>
      </c>
      <c r="H105" s="15">
        <v>340.49200000000002</v>
      </c>
      <c r="I105" s="15">
        <v>340.49200000000002</v>
      </c>
    </row>
    <row r="106" spans="1:10">
      <c r="A106" t="s">
        <v>340</v>
      </c>
      <c r="B106" s="12">
        <v>2213835.2999999998</v>
      </c>
      <c r="C106" s="12">
        <v>5616777.5999999996</v>
      </c>
      <c r="D106" s="12">
        <v>1303855.98</v>
      </c>
      <c r="E106" s="12">
        <v>5055075.68</v>
      </c>
      <c r="F106" s="15">
        <v>0</v>
      </c>
      <c r="G106" s="15">
        <v>0</v>
      </c>
      <c r="H106" s="15">
        <v>340.49200000000002</v>
      </c>
      <c r="I106" s="15">
        <v>340.49200000000002</v>
      </c>
    </row>
    <row r="107" spans="1:10">
      <c r="A107" t="s">
        <v>341</v>
      </c>
      <c r="B107" s="12">
        <v>2214679.7000000002</v>
      </c>
      <c r="C107" s="12">
        <v>5616861</v>
      </c>
      <c r="D107" s="12">
        <v>1304700.69</v>
      </c>
      <c r="E107" s="12">
        <v>5055160.16</v>
      </c>
      <c r="F107" s="15">
        <v>0</v>
      </c>
      <c r="G107" s="15">
        <v>0</v>
      </c>
      <c r="H107" s="15">
        <v>340.49200000000002</v>
      </c>
      <c r="I107" s="15">
        <v>340.49200000000002</v>
      </c>
    </row>
    <row r="108" spans="1:10">
      <c r="A108" t="s">
        <v>342</v>
      </c>
      <c r="B108" s="12">
        <v>2215587.1</v>
      </c>
      <c r="C108" s="12">
        <v>5617071.2999999998</v>
      </c>
      <c r="D108" s="12">
        <v>1305608.75</v>
      </c>
      <c r="E108" s="12">
        <v>5055371.33</v>
      </c>
      <c r="F108" s="15">
        <v>0</v>
      </c>
      <c r="G108" s="15">
        <v>0</v>
      </c>
      <c r="H108" s="15">
        <v>340.49200000000002</v>
      </c>
      <c r="I108" s="15">
        <v>340.49200000000002</v>
      </c>
    </row>
    <row r="109" spans="1:10">
      <c r="A109" t="s">
        <v>343</v>
      </c>
      <c r="B109" s="12">
        <v>2213319</v>
      </c>
      <c r="C109" s="12">
        <v>5617326.5</v>
      </c>
      <c r="D109" s="12">
        <v>1303338.58</v>
      </c>
      <c r="E109" s="12">
        <v>5055624.75</v>
      </c>
      <c r="F109" s="15">
        <v>0</v>
      </c>
      <c r="G109" s="15">
        <v>0</v>
      </c>
      <c r="H109" s="15">
        <v>340.49200000000002</v>
      </c>
      <c r="I109" s="15">
        <v>340.49200000000002</v>
      </c>
    </row>
    <row r="110" spans="1:10">
      <c r="A110" t="s">
        <v>344</v>
      </c>
      <c r="B110" s="12">
        <v>2214226.4</v>
      </c>
      <c r="C110" s="12">
        <v>5617388.9000000004</v>
      </c>
      <c r="D110" s="12">
        <v>1304246.6599999999</v>
      </c>
      <c r="E110" s="12">
        <v>5055688.1100000003</v>
      </c>
      <c r="F110" s="15">
        <v>0</v>
      </c>
      <c r="G110" s="15">
        <v>0</v>
      </c>
      <c r="H110" s="15">
        <v>340.49200000000002</v>
      </c>
      <c r="I110" s="15">
        <v>340.49200000000002</v>
      </c>
    </row>
    <row r="111" spans="1:10">
      <c r="A111" t="s">
        <v>345</v>
      </c>
      <c r="B111" s="12">
        <v>2215940.2000000002</v>
      </c>
      <c r="C111" s="12">
        <v>5617551.7999999998</v>
      </c>
      <c r="D111" s="12">
        <v>1305962.48</v>
      </c>
      <c r="E111" s="12">
        <v>5055851.78</v>
      </c>
      <c r="F111" s="15">
        <v>0</v>
      </c>
      <c r="G111" s="15">
        <v>0</v>
      </c>
      <c r="H111" s="15">
        <v>340.49200000000002</v>
      </c>
      <c r="I111" s="15">
        <v>340.49200000000002</v>
      </c>
    </row>
    <row r="112" spans="1:10">
      <c r="A112" t="s">
        <v>346</v>
      </c>
      <c r="B112" s="12">
        <v>2215032.7999999998</v>
      </c>
      <c r="C112" s="12">
        <v>5617462.4000000004</v>
      </c>
      <c r="D112" s="12">
        <v>1305054.4099999999</v>
      </c>
      <c r="E112" s="12">
        <v>5055762.0199999996</v>
      </c>
      <c r="F112" s="15">
        <v>0</v>
      </c>
      <c r="G112" s="15">
        <v>0</v>
      </c>
      <c r="H112" s="15">
        <v>340.49200000000002</v>
      </c>
      <c r="I112" s="15">
        <v>340.49200000000002</v>
      </c>
    </row>
    <row r="113" spans="1:9">
      <c r="A113" t="s">
        <v>347</v>
      </c>
      <c r="B113" s="12">
        <v>2216969.6</v>
      </c>
      <c r="C113" s="12">
        <v>5617967.9000000004</v>
      </c>
      <c r="D113" s="12">
        <v>1306991.98</v>
      </c>
      <c r="E113" s="12">
        <v>5056268.8499999996</v>
      </c>
      <c r="F113" s="15">
        <v>0</v>
      </c>
      <c r="G113" s="15">
        <v>0</v>
      </c>
      <c r="H113" s="15">
        <v>340.49200000000002</v>
      </c>
      <c r="I113" s="15">
        <v>340.49200000000002</v>
      </c>
    </row>
    <row r="114" spans="1:9">
      <c r="A114" t="s">
        <v>348</v>
      </c>
      <c r="B114" s="12">
        <v>2215376.7999999998</v>
      </c>
      <c r="C114" s="12">
        <v>5617941.7999999998</v>
      </c>
      <c r="D114" s="12">
        <v>1305397.58</v>
      </c>
      <c r="E114" s="12">
        <v>5056242.45</v>
      </c>
      <c r="F114" s="15">
        <v>0</v>
      </c>
      <c r="G114" s="15">
        <v>0</v>
      </c>
      <c r="H114" s="15">
        <v>340.49200000000002</v>
      </c>
      <c r="I114" s="15">
        <v>340.49200000000002</v>
      </c>
    </row>
    <row r="115" spans="1:9">
      <c r="A115" t="s">
        <v>313</v>
      </c>
      <c r="B115" s="12">
        <v>2213686.6</v>
      </c>
      <c r="C115" s="12">
        <v>5615405.7000000002</v>
      </c>
      <c r="D115" s="12">
        <v>1303708.1399999999</v>
      </c>
      <c r="E115" s="12">
        <v>5053703.0199999996</v>
      </c>
      <c r="F115" s="15">
        <v>0</v>
      </c>
      <c r="G115" s="15">
        <v>0</v>
      </c>
      <c r="H115" s="15">
        <v>340.49200000000002</v>
      </c>
      <c r="I115" s="15">
        <v>340.49200000000002</v>
      </c>
    </row>
    <row r="116" spans="1:9">
      <c r="A116" t="s">
        <v>349</v>
      </c>
      <c r="B116" s="12">
        <v>2213725</v>
      </c>
      <c r="C116" s="12">
        <v>5617927.7999999998</v>
      </c>
      <c r="D116" s="12">
        <v>1303745.1000000001</v>
      </c>
      <c r="E116" s="12">
        <v>5056226.6100000003</v>
      </c>
      <c r="F116" s="15">
        <v>0</v>
      </c>
      <c r="G116" s="15">
        <v>0</v>
      </c>
      <c r="H116" s="15">
        <v>340.49200000000002</v>
      </c>
      <c r="I116" s="15">
        <v>340.49200000000002</v>
      </c>
    </row>
    <row r="117" spans="1:9">
      <c r="A117" t="s">
        <v>350</v>
      </c>
      <c r="B117" s="12">
        <v>2212258.2000000002</v>
      </c>
      <c r="C117" s="12">
        <v>5617928.5999999996</v>
      </c>
      <c r="D117" s="12">
        <v>1302277.42</v>
      </c>
      <c r="E117" s="12">
        <v>5056226.6100000003</v>
      </c>
      <c r="F117" s="15">
        <v>0</v>
      </c>
      <c r="G117" s="15">
        <v>0</v>
      </c>
      <c r="H117" s="15">
        <v>340.49200000000002</v>
      </c>
      <c r="I117" s="15">
        <v>340.49200000000002</v>
      </c>
    </row>
    <row r="118" spans="1:9">
      <c r="A118" t="s">
        <v>351</v>
      </c>
      <c r="B118" s="12">
        <v>2214611.4</v>
      </c>
      <c r="C118" s="12">
        <v>5617937.2000000002</v>
      </c>
      <c r="D118" s="12">
        <v>1304632.05</v>
      </c>
      <c r="E118" s="12">
        <v>5056237.17</v>
      </c>
      <c r="F118" s="15">
        <v>0</v>
      </c>
      <c r="G118" s="15">
        <v>0</v>
      </c>
      <c r="H118" s="15">
        <v>340.49200000000002</v>
      </c>
      <c r="I118" s="15">
        <v>340.49200000000002</v>
      </c>
    </row>
    <row r="119" spans="1:9">
      <c r="A119" t="s">
        <v>352</v>
      </c>
      <c r="B119" s="12">
        <v>2216273.2000000002</v>
      </c>
      <c r="C119" s="12">
        <v>5617963.2999999998</v>
      </c>
      <c r="D119" s="12">
        <v>1306295.0900000001</v>
      </c>
      <c r="E119" s="12">
        <v>5056263.57</v>
      </c>
      <c r="F119" s="15">
        <v>0</v>
      </c>
      <c r="G119" s="15">
        <v>0</v>
      </c>
      <c r="H119" s="15">
        <v>340.49200000000002</v>
      </c>
      <c r="I119" s="15">
        <v>340.49200000000002</v>
      </c>
    </row>
    <row r="120" spans="1:9">
      <c r="A120" t="s">
        <v>353</v>
      </c>
      <c r="B120" s="12">
        <v>2213027.2999999998</v>
      </c>
      <c r="C120" s="12">
        <v>5615785.7999999998</v>
      </c>
      <c r="D120" s="12">
        <v>1303048.21</v>
      </c>
      <c r="E120" s="12">
        <v>5054083.1500000004</v>
      </c>
      <c r="F120" s="15">
        <v>0</v>
      </c>
      <c r="G120" s="15">
        <v>0</v>
      </c>
      <c r="H120" s="15">
        <v>340.49200000000002</v>
      </c>
      <c r="I120" s="15">
        <v>340.49200000000002</v>
      </c>
    </row>
    <row r="121" spans="1:9">
      <c r="A121" t="s">
        <v>354</v>
      </c>
      <c r="B121" s="12">
        <v>2213860.7000000002</v>
      </c>
      <c r="C121" s="12">
        <v>5615759.4000000004</v>
      </c>
      <c r="D121" s="12">
        <v>1303882.3700000001</v>
      </c>
      <c r="E121" s="12">
        <v>5054056.75</v>
      </c>
      <c r="F121" s="15">
        <v>0</v>
      </c>
      <c r="G121" s="15">
        <v>0</v>
      </c>
      <c r="H121" s="15">
        <v>340.49200000000002</v>
      </c>
      <c r="I121" s="15">
        <v>340.49200000000002</v>
      </c>
    </row>
    <row r="122" spans="1:9">
      <c r="A122" t="s">
        <v>355</v>
      </c>
      <c r="B122" s="12">
        <v>2214689.1</v>
      </c>
      <c r="C122" s="12">
        <v>5615816.7999999998</v>
      </c>
      <c r="D122" s="12">
        <v>1304711.24</v>
      </c>
      <c r="E122" s="12">
        <v>5054114.83</v>
      </c>
      <c r="F122" s="15">
        <v>0</v>
      </c>
      <c r="G122" s="15">
        <v>0</v>
      </c>
      <c r="H122" s="15">
        <v>340.49200000000002</v>
      </c>
      <c r="I122" s="15">
        <v>340.49200000000002</v>
      </c>
    </row>
    <row r="123" spans="1:9">
      <c r="A123" t="s">
        <v>356</v>
      </c>
      <c r="B123" s="12">
        <v>2215734.4</v>
      </c>
      <c r="C123" s="12">
        <v>5616075</v>
      </c>
      <c r="D123" s="12">
        <v>1305756.58</v>
      </c>
      <c r="E123" s="12">
        <v>5054373.5199999996</v>
      </c>
      <c r="F123" s="15">
        <v>0</v>
      </c>
      <c r="G123" s="15">
        <v>0</v>
      </c>
      <c r="H123" s="15">
        <v>340.49200000000002</v>
      </c>
      <c r="I123" s="15">
        <v>340.49200000000002</v>
      </c>
    </row>
    <row r="124" spans="1:9">
      <c r="A124" t="s">
        <v>357</v>
      </c>
      <c r="B124" s="12">
        <v>2216526.2999999998</v>
      </c>
      <c r="C124" s="12">
        <v>5616802</v>
      </c>
      <c r="D124" s="12">
        <v>1306548.5</v>
      </c>
      <c r="E124" s="12">
        <v>5055102.09</v>
      </c>
      <c r="F124" s="15">
        <v>0</v>
      </c>
      <c r="G124" s="15">
        <v>0</v>
      </c>
      <c r="H124" s="15">
        <v>340.49200000000002</v>
      </c>
      <c r="I124" s="15">
        <v>340.49200000000002</v>
      </c>
    </row>
    <row r="125" spans="1:9">
      <c r="A125" t="s">
        <v>358</v>
      </c>
      <c r="B125" s="12">
        <v>2217159.1</v>
      </c>
      <c r="C125" s="12">
        <v>5617350.2000000002</v>
      </c>
      <c r="D125" s="12">
        <v>1307182.04</v>
      </c>
      <c r="E125" s="12">
        <v>5055651.1500000004</v>
      </c>
      <c r="F125" s="15">
        <v>0</v>
      </c>
      <c r="G125" s="15">
        <v>0</v>
      </c>
      <c r="H125" s="15">
        <v>340.49200000000002</v>
      </c>
      <c r="I125" s="15">
        <v>340.49200000000002</v>
      </c>
    </row>
    <row r="126" spans="1:9">
      <c r="A126" t="s">
        <v>314</v>
      </c>
      <c r="B126" s="12">
        <v>2214066.2999999998</v>
      </c>
      <c r="C126" s="12">
        <v>5615405.5</v>
      </c>
      <c r="D126" s="12">
        <v>1304088.27</v>
      </c>
      <c r="E126" s="12">
        <v>5053703.0199999996</v>
      </c>
      <c r="F126" s="15">
        <v>0</v>
      </c>
      <c r="G126" s="15">
        <v>0</v>
      </c>
      <c r="H126" s="15">
        <v>340.49200000000002</v>
      </c>
      <c r="I126" s="15">
        <v>340.49200000000002</v>
      </c>
    </row>
    <row r="127" spans="1:9">
      <c r="A127" t="s">
        <v>359</v>
      </c>
      <c r="B127" s="12">
        <v>2217744.9</v>
      </c>
      <c r="C127" s="12">
        <v>5617713.5999999996</v>
      </c>
      <c r="D127" s="12">
        <v>1307768.05</v>
      </c>
      <c r="E127" s="12">
        <v>5056015.43</v>
      </c>
      <c r="F127" s="15">
        <v>0</v>
      </c>
      <c r="G127" s="15">
        <v>0</v>
      </c>
      <c r="H127" s="15">
        <v>340.49200000000002</v>
      </c>
      <c r="I127" s="15">
        <v>340.49200000000002</v>
      </c>
    </row>
    <row r="128" spans="1:9">
      <c r="A128" t="s">
        <v>315</v>
      </c>
      <c r="B128" s="12">
        <v>2214504</v>
      </c>
      <c r="C128" s="12">
        <v>5615442.2000000002</v>
      </c>
      <c r="D128" s="12">
        <v>1304526.46</v>
      </c>
      <c r="E128" s="12">
        <v>5053739.99</v>
      </c>
      <c r="F128" s="15">
        <v>0</v>
      </c>
      <c r="G128" s="15">
        <v>0</v>
      </c>
      <c r="H128" s="15">
        <v>340.49200000000002</v>
      </c>
      <c r="I128" s="15">
        <v>340.49200000000002</v>
      </c>
    </row>
    <row r="129" spans="1:11">
      <c r="A129" t="s">
        <v>316</v>
      </c>
      <c r="B129" s="12">
        <v>2214899.7000000002</v>
      </c>
      <c r="C129" s="12">
        <v>5615499.9000000004</v>
      </c>
      <c r="D129" s="12">
        <v>1304922.43</v>
      </c>
      <c r="E129" s="12">
        <v>5053798.05</v>
      </c>
      <c r="F129" s="15">
        <v>0</v>
      </c>
      <c r="G129" s="15">
        <v>0</v>
      </c>
      <c r="H129" s="15">
        <v>340.49200000000002</v>
      </c>
      <c r="I129" s="15">
        <v>340.49200000000002</v>
      </c>
    </row>
    <row r="130" spans="1:11">
      <c r="A130" t="s">
        <v>317</v>
      </c>
      <c r="B130" s="12">
        <v>2215301.5</v>
      </c>
      <c r="C130" s="12">
        <v>5615562.7000000002</v>
      </c>
      <c r="D130" s="12">
        <v>1305323.6599999999</v>
      </c>
      <c r="E130" s="12">
        <v>5053861.41</v>
      </c>
      <c r="F130" s="15">
        <v>0</v>
      </c>
      <c r="G130" s="15">
        <v>0</v>
      </c>
      <c r="H130" s="15">
        <v>340.49200000000002</v>
      </c>
      <c r="I130" s="15">
        <v>340.49200000000002</v>
      </c>
    </row>
    <row r="131" spans="1:11">
      <c r="A131" t="s">
        <v>318</v>
      </c>
      <c r="B131" s="12">
        <v>2215665.2000000002</v>
      </c>
      <c r="C131" s="12">
        <v>5615673.4000000004</v>
      </c>
      <c r="D131" s="12">
        <v>1305687.95</v>
      </c>
      <c r="E131" s="12">
        <v>5053972.28</v>
      </c>
      <c r="F131" s="15">
        <v>0</v>
      </c>
      <c r="G131" s="15">
        <v>0</v>
      </c>
      <c r="H131" s="15">
        <v>340.49200000000002</v>
      </c>
      <c r="I131" s="15">
        <v>340.49200000000002</v>
      </c>
    </row>
    <row r="132" spans="1:11">
      <c r="A132" t="s">
        <v>307</v>
      </c>
      <c r="B132" s="12">
        <v>2215355</v>
      </c>
      <c r="C132" s="12">
        <v>5609330</v>
      </c>
      <c r="D132" s="12">
        <v>1305381.5</v>
      </c>
      <c r="E132" s="12">
        <v>5047623.7</v>
      </c>
      <c r="F132" s="15">
        <v>11.63</v>
      </c>
      <c r="G132" s="15">
        <v>-0.14000000000000001</v>
      </c>
      <c r="H132" s="15">
        <v>11.770000000000001</v>
      </c>
      <c r="I132" s="15">
        <v>321.10400000000004</v>
      </c>
      <c r="J132" t="s">
        <v>278</v>
      </c>
    </row>
    <row r="133" spans="1:11">
      <c r="A133" t="s">
        <v>8</v>
      </c>
      <c r="B133" s="12">
        <v>2212290</v>
      </c>
      <c r="C133" s="12">
        <v>5607690</v>
      </c>
      <c r="D133" s="12">
        <v>1302315.2</v>
      </c>
      <c r="E133" s="12">
        <v>5045980.5</v>
      </c>
      <c r="F133" s="15">
        <v>76.13</v>
      </c>
      <c r="G133" s="15">
        <v>0.35</v>
      </c>
      <c r="H133" s="15">
        <v>75.78</v>
      </c>
      <c r="I133" s="15">
        <v>298.34400000000005</v>
      </c>
      <c r="J133" t="s">
        <v>268</v>
      </c>
    </row>
    <row r="134" spans="1:11">
      <c r="A134" t="s">
        <v>271</v>
      </c>
      <c r="B134" s="12">
        <v>2214368</v>
      </c>
      <c r="C134" s="12">
        <v>5607771</v>
      </c>
      <c r="D134" s="12">
        <v>1304394.8</v>
      </c>
      <c r="E134" s="12">
        <v>5046062.9000000004</v>
      </c>
      <c r="F134" s="15">
        <v>96.5</v>
      </c>
      <c r="G134" s="15">
        <v>0.33</v>
      </c>
      <c r="H134" s="15">
        <v>96.17</v>
      </c>
      <c r="I134" s="15">
        <v>294.09899999999999</v>
      </c>
      <c r="J134" t="s">
        <v>268</v>
      </c>
    </row>
    <row r="135" spans="1:11">
      <c r="A135" t="s">
        <v>272</v>
      </c>
      <c r="B135" s="12">
        <v>2212385</v>
      </c>
      <c r="C135" s="12">
        <v>5608945</v>
      </c>
      <c r="D135" s="12">
        <v>1302409.5</v>
      </c>
      <c r="E135" s="12">
        <v>5047236.5</v>
      </c>
      <c r="F135" s="15">
        <v>16.79</v>
      </c>
      <c r="G135" s="15">
        <v>0.2</v>
      </c>
      <c r="H135" s="15">
        <v>16.59</v>
      </c>
      <c r="I135" s="15">
        <v>300.41900000000004</v>
      </c>
      <c r="J135" t="s">
        <v>268</v>
      </c>
    </row>
    <row r="136" spans="1:11">
      <c r="A136" t="s">
        <v>266</v>
      </c>
      <c r="B136" s="12">
        <v>2215427.9</v>
      </c>
      <c r="C136" s="12">
        <v>5604055.2999999998</v>
      </c>
      <c r="D136" s="12">
        <v>1305457.95</v>
      </c>
      <c r="E136" s="12">
        <v>5042345.41</v>
      </c>
      <c r="F136" s="15">
        <v>0</v>
      </c>
      <c r="G136" s="15">
        <v>0</v>
      </c>
      <c r="H136" s="1">
        <v>270</v>
      </c>
      <c r="I136" s="1">
        <v>270</v>
      </c>
      <c r="J136" t="s">
        <v>266</v>
      </c>
    </row>
    <row r="137" spans="1:11">
      <c r="A137" t="s">
        <v>265</v>
      </c>
      <c r="B137" s="12">
        <v>2215567.645</v>
      </c>
      <c r="C137" s="12">
        <v>5604048.7719999999</v>
      </c>
      <c r="D137" s="12">
        <v>1305597.8189999999</v>
      </c>
      <c r="E137" s="12">
        <v>5042338.6040000003</v>
      </c>
      <c r="F137" s="15">
        <v>0</v>
      </c>
      <c r="G137" s="15">
        <v>0</v>
      </c>
      <c r="H137" s="1">
        <v>269</v>
      </c>
      <c r="I137" s="1">
        <v>269</v>
      </c>
      <c r="J137" t="s">
        <v>265</v>
      </c>
    </row>
    <row r="138" spans="1:11">
      <c r="A138" t="s">
        <v>267</v>
      </c>
      <c r="B138" s="12">
        <v>2215014.2000000002</v>
      </c>
      <c r="C138" s="12">
        <v>5603930.5999999996</v>
      </c>
      <c r="D138" s="14">
        <v>1305043.8999999999</v>
      </c>
      <c r="E138" s="12">
        <v>5042220.46</v>
      </c>
      <c r="F138" s="15">
        <v>0</v>
      </c>
      <c r="G138" s="15">
        <v>0</v>
      </c>
      <c r="H138" s="1">
        <v>271</v>
      </c>
      <c r="I138" s="1">
        <v>271</v>
      </c>
      <c r="J138" t="s">
        <v>267</v>
      </c>
    </row>
    <row r="139" spans="1:11">
      <c r="A139" t="s">
        <v>407</v>
      </c>
      <c r="B139" s="12">
        <v>2211066.0639999998</v>
      </c>
      <c r="C139" s="12">
        <v>5605887.085</v>
      </c>
      <c r="D139" s="12">
        <v>1301091.5120000001</v>
      </c>
      <c r="E139" s="12">
        <v>5044175.3329999996</v>
      </c>
      <c r="F139" s="15">
        <v>0</v>
      </c>
      <c r="G139" s="15">
        <v>0</v>
      </c>
      <c r="H139" s="15">
        <v>280</v>
      </c>
      <c r="I139" s="15">
        <v>280</v>
      </c>
      <c r="J139" t="s">
        <v>410</v>
      </c>
    </row>
    <row r="140" spans="1:11">
      <c r="A140" t="s">
        <v>408</v>
      </c>
      <c r="B140" s="12">
        <v>2212256</v>
      </c>
      <c r="C140" s="12">
        <v>5605485</v>
      </c>
      <c r="D140" s="12">
        <v>1302282.6510000001</v>
      </c>
      <c r="E140" s="12">
        <v>5043773.7189999996</v>
      </c>
      <c r="F140" s="15">
        <v>0</v>
      </c>
      <c r="G140" s="15">
        <v>0</v>
      </c>
      <c r="H140" s="15">
        <v>272</v>
      </c>
      <c r="I140" s="15">
        <v>272</v>
      </c>
      <c r="J140" s="15"/>
    </row>
    <row r="141" spans="1:11">
      <c r="A141" t="s">
        <v>409</v>
      </c>
      <c r="B141" s="12">
        <v>2213529.9330000002</v>
      </c>
      <c r="C141" s="12">
        <v>5605135.6239999998</v>
      </c>
      <c r="D141" s="12">
        <v>1303557.808</v>
      </c>
      <c r="E141" s="12">
        <v>5043424.92</v>
      </c>
      <c r="F141" s="15">
        <v>0</v>
      </c>
      <c r="G141" s="15">
        <v>0</v>
      </c>
      <c r="H141" s="15">
        <v>273.7</v>
      </c>
      <c r="I141" s="15">
        <v>273.7</v>
      </c>
    </row>
    <row r="142" spans="1:11">
      <c r="A142" t="s">
        <v>399</v>
      </c>
      <c r="B142" s="12">
        <v>2210665</v>
      </c>
      <c r="C142" s="12">
        <v>5611589</v>
      </c>
      <c r="D142" s="12">
        <v>1300686.3999999999</v>
      </c>
      <c r="E142" s="12">
        <v>5049881.5</v>
      </c>
      <c r="F142" s="12">
        <v>40.25</v>
      </c>
      <c r="G142" s="12">
        <v>0</v>
      </c>
      <c r="H142" s="15">
        <v>0</v>
      </c>
      <c r="I142" s="15">
        <v>348.01</v>
      </c>
      <c r="J142" t="s">
        <v>33</v>
      </c>
      <c r="K142" s="15"/>
    </row>
    <row r="143" spans="1:11">
      <c r="A143" t="s">
        <v>400</v>
      </c>
      <c r="B143" s="12">
        <v>2211213</v>
      </c>
      <c r="C143" s="12">
        <v>5611820</v>
      </c>
      <c r="D143" s="12">
        <v>1301234.7</v>
      </c>
      <c r="E143" s="12">
        <v>5050113</v>
      </c>
      <c r="F143" s="12">
        <v>39.86</v>
      </c>
      <c r="G143" s="12">
        <v>0</v>
      </c>
      <c r="H143" s="15">
        <v>0</v>
      </c>
      <c r="I143" s="15">
        <v>346.86</v>
      </c>
      <c r="J143" t="s">
        <v>33</v>
      </c>
      <c r="K143" s="15"/>
    </row>
    <row r="144" spans="1:11">
      <c r="A144" t="s">
        <v>401</v>
      </c>
      <c r="B144" s="12">
        <v>2211090</v>
      </c>
      <c r="C144" s="12">
        <v>5612924</v>
      </c>
      <c r="D144" s="12">
        <v>1301110.8999999999</v>
      </c>
      <c r="E144" s="12">
        <v>5051217.8</v>
      </c>
      <c r="F144" s="12">
        <v>51.45</v>
      </c>
      <c r="G144" s="12">
        <v>0</v>
      </c>
      <c r="H144" s="15">
        <v>0</v>
      </c>
      <c r="I144" s="15">
        <v>350.11</v>
      </c>
      <c r="J144" t="s">
        <v>33</v>
      </c>
      <c r="K144" s="15"/>
    </row>
    <row r="145" spans="1:10">
      <c r="A145" t="s">
        <v>101</v>
      </c>
      <c r="B145" s="12">
        <v>2217600</v>
      </c>
      <c r="C145" s="12">
        <v>5613000</v>
      </c>
      <c r="D145" s="12">
        <v>1307625.8</v>
      </c>
      <c r="E145" s="12">
        <v>5051297.8</v>
      </c>
      <c r="F145" s="15">
        <v>47.18</v>
      </c>
      <c r="G145" s="12">
        <v>0</v>
      </c>
      <c r="H145" s="15">
        <v>0</v>
      </c>
      <c r="I145" s="15">
        <v>355.54</v>
      </c>
      <c r="J145" t="s">
        <v>33</v>
      </c>
    </row>
  </sheetData>
  <sortState ref="A2:K134">
    <sortCondition ref="A2:A13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3"/>
  <sheetViews>
    <sheetView workbookViewId="0">
      <selection activeCell="F26" sqref="F26"/>
    </sheetView>
  </sheetViews>
  <sheetFormatPr defaultRowHeight="15"/>
  <cols>
    <col min="21" max="21" width="54.85546875" customWidth="1"/>
    <col min="22" max="22" width="35.7109375" customWidth="1"/>
  </cols>
  <sheetData>
    <row r="1" spans="1:22">
      <c r="A1" t="s">
        <v>38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</row>
    <row r="2" spans="1:22">
      <c r="A2" t="s">
        <v>57</v>
      </c>
      <c r="B2">
        <v>1300221.8999999999</v>
      </c>
      <c r="C2">
        <v>5048491.0999999996</v>
      </c>
      <c r="D2">
        <v>2210200</v>
      </c>
      <c r="E2">
        <v>5610200</v>
      </c>
      <c r="F2" t="s">
        <v>58</v>
      </c>
      <c r="G2">
        <v>28.1</v>
      </c>
      <c r="H2">
        <v>0.1</v>
      </c>
      <c r="I2">
        <v>-22.2</v>
      </c>
      <c r="K2" t="s">
        <v>59</v>
      </c>
      <c r="M2" t="s">
        <v>60</v>
      </c>
      <c r="R2" t="s">
        <v>61</v>
      </c>
      <c r="S2" t="s">
        <v>62</v>
      </c>
      <c r="U2" t="s">
        <v>63</v>
      </c>
    </row>
    <row r="3" spans="1:22">
      <c r="A3" t="s">
        <v>13</v>
      </c>
      <c r="B3">
        <v>1305531.3</v>
      </c>
      <c r="C3">
        <v>5040688.5</v>
      </c>
      <c r="D3">
        <v>2215500</v>
      </c>
      <c r="E3">
        <v>5602400</v>
      </c>
      <c r="G3">
        <v>33</v>
      </c>
      <c r="H3">
        <v>0.1</v>
      </c>
      <c r="K3" t="s">
        <v>64</v>
      </c>
      <c r="M3" t="s">
        <v>60</v>
      </c>
      <c r="Q3" t="s">
        <v>65</v>
      </c>
      <c r="R3" t="s">
        <v>66</v>
      </c>
      <c r="S3" t="s">
        <v>29</v>
      </c>
      <c r="T3" t="s">
        <v>67</v>
      </c>
      <c r="U3" t="s">
        <v>68</v>
      </c>
    </row>
    <row r="4" spans="1:22">
      <c r="A4" t="s">
        <v>69</v>
      </c>
      <c r="B4">
        <v>1302821.1000000001</v>
      </c>
      <c r="C4">
        <v>5053096.3</v>
      </c>
      <c r="D4">
        <v>2212800</v>
      </c>
      <c r="E4">
        <v>5614800</v>
      </c>
      <c r="G4">
        <v>50</v>
      </c>
      <c r="H4">
        <v>0.1</v>
      </c>
      <c r="K4" t="s">
        <v>70</v>
      </c>
      <c r="M4" t="s">
        <v>71</v>
      </c>
      <c r="N4" t="s">
        <v>72</v>
      </c>
      <c r="O4" t="s">
        <v>73</v>
      </c>
      <c r="R4" t="s">
        <v>74</v>
      </c>
      <c r="S4" t="s">
        <v>75</v>
      </c>
      <c r="T4" t="s">
        <v>76</v>
      </c>
      <c r="U4" t="s">
        <v>248</v>
      </c>
    </row>
    <row r="5" spans="1:22">
      <c r="A5" t="s">
        <v>78</v>
      </c>
      <c r="B5">
        <v>1305624.8999999999</v>
      </c>
      <c r="C5">
        <v>5050395.9000000004</v>
      </c>
      <c r="D5">
        <v>2215600</v>
      </c>
      <c r="E5">
        <v>5612100</v>
      </c>
      <c r="G5">
        <v>16.5</v>
      </c>
      <c r="H5">
        <v>0.1</v>
      </c>
      <c r="K5" t="s">
        <v>79</v>
      </c>
      <c r="L5" t="s">
        <v>80</v>
      </c>
      <c r="M5" t="s">
        <v>60</v>
      </c>
      <c r="P5" t="s">
        <v>81</v>
      </c>
      <c r="Q5" t="s">
        <v>82</v>
      </c>
      <c r="R5" t="s">
        <v>61</v>
      </c>
      <c r="S5" t="s">
        <v>83</v>
      </c>
      <c r="U5" t="s">
        <v>84</v>
      </c>
      <c r="V5" t="s">
        <v>85</v>
      </c>
    </row>
    <row r="6" spans="1:22">
      <c r="A6" t="s">
        <v>86</v>
      </c>
      <c r="B6">
        <v>1307523.3</v>
      </c>
      <c r="C6">
        <v>5055400.8</v>
      </c>
      <c r="D6">
        <v>2217500</v>
      </c>
      <c r="E6">
        <v>5617100</v>
      </c>
      <c r="G6">
        <v>40.5</v>
      </c>
      <c r="H6">
        <v>0.1</v>
      </c>
      <c r="K6" t="s">
        <v>87</v>
      </c>
      <c r="L6" t="s">
        <v>88</v>
      </c>
      <c r="M6" t="s">
        <v>60</v>
      </c>
      <c r="R6" t="s">
        <v>89</v>
      </c>
      <c r="S6" t="s">
        <v>90</v>
      </c>
      <c r="T6" t="s">
        <v>91</v>
      </c>
      <c r="U6" t="s">
        <v>249</v>
      </c>
    </row>
    <row r="7" spans="1:22">
      <c r="A7" t="s">
        <v>93</v>
      </c>
      <c r="B7">
        <v>1308324.3</v>
      </c>
      <c r="C7">
        <v>5054700.8</v>
      </c>
      <c r="D7">
        <v>2218300</v>
      </c>
      <c r="E7">
        <v>5616400</v>
      </c>
      <c r="F7" t="s">
        <v>58</v>
      </c>
      <c r="G7">
        <v>22.1</v>
      </c>
      <c r="H7">
        <v>0.1</v>
      </c>
      <c r="I7">
        <v>-12</v>
      </c>
      <c r="K7" t="s">
        <v>94</v>
      </c>
      <c r="L7" t="s">
        <v>95</v>
      </c>
      <c r="M7" t="s">
        <v>60</v>
      </c>
      <c r="N7" t="s">
        <v>96</v>
      </c>
      <c r="P7" t="s">
        <v>97</v>
      </c>
      <c r="R7" t="s">
        <v>61</v>
      </c>
      <c r="S7" t="s">
        <v>98</v>
      </c>
      <c r="T7" t="s">
        <v>99</v>
      </c>
      <c r="U7" t="s">
        <v>100</v>
      </c>
    </row>
    <row r="8" spans="1:22">
      <c r="A8" t="s">
        <v>101</v>
      </c>
      <c r="B8">
        <v>1307625.8</v>
      </c>
      <c r="C8">
        <v>5051297.8</v>
      </c>
      <c r="D8">
        <v>2217600</v>
      </c>
      <c r="E8">
        <v>5613000</v>
      </c>
      <c r="F8" t="s">
        <v>58</v>
      </c>
      <c r="G8">
        <v>59.7</v>
      </c>
      <c r="H8">
        <v>0.125</v>
      </c>
      <c r="I8">
        <v>-47.18</v>
      </c>
      <c r="K8" t="s">
        <v>102</v>
      </c>
      <c r="L8" t="s">
        <v>103</v>
      </c>
      <c r="M8" t="s">
        <v>60</v>
      </c>
      <c r="Q8" t="s">
        <v>104</v>
      </c>
      <c r="R8" t="s">
        <v>105</v>
      </c>
      <c r="S8" t="s">
        <v>106</v>
      </c>
      <c r="U8" t="s">
        <v>107</v>
      </c>
    </row>
    <row r="9" spans="1:22">
      <c r="A9" t="s">
        <v>108</v>
      </c>
      <c r="B9">
        <v>1305493.5</v>
      </c>
      <c r="C9">
        <v>5046167.7</v>
      </c>
      <c r="D9">
        <v>2215466</v>
      </c>
      <c r="E9">
        <v>5607875</v>
      </c>
      <c r="F9" t="s">
        <v>58</v>
      </c>
      <c r="G9">
        <v>111.2</v>
      </c>
      <c r="H9">
        <v>0.16</v>
      </c>
      <c r="I9">
        <v>-93.35</v>
      </c>
      <c r="K9" t="s">
        <v>109</v>
      </c>
      <c r="L9" t="s">
        <v>110</v>
      </c>
      <c r="M9" t="s">
        <v>60</v>
      </c>
      <c r="N9" t="s">
        <v>96</v>
      </c>
      <c r="Q9" t="s">
        <v>111</v>
      </c>
      <c r="R9" t="s">
        <v>112</v>
      </c>
      <c r="S9" t="s">
        <v>113</v>
      </c>
      <c r="T9" t="s">
        <v>114</v>
      </c>
      <c r="U9" t="s">
        <v>250</v>
      </c>
    </row>
    <row r="10" spans="1:22">
      <c r="A10" t="s">
        <v>116</v>
      </c>
      <c r="B10">
        <v>1301225.1000000001</v>
      </c>
      <c r="C10">
        <v>5044788.8</v>
      </c>
      <c r="D10">
        <v>2211200</v>
      </c>
      <c r="E10">
        <v>5606500</v>
      </c>
      <c r="G10">
        <v>40</v>
      </c>
      <c r="H10">
        <v>0.1</v>
      </c>
      <c r="K10" t="s">
        <v>117</v>
      </c>
      <c r="Q10" t="s">
        <v>118</v>
      </c>
      <c r="R10" t="s">
        <v>119</v>
      </c>
      <c r="S10" t="s">
        <v>113</v>
      </c>
      <c r="U10" t="s">
        <v>250</v>
      </c>
    </row>
    <row r="11" spans="1:22">
      <c r="A11" t="s">
        <v>120</v>
      </c>
      <c r="B11">
        <v>1305589.5</v>
      </c>
      <c r="C11">
        <v>5047911</v>
      </c>
      <c r="D11">
        <v>2215563</v>
      </c>
      <c r="E11">
        <v>5609617</v>
      </c>
      <c r="G11">
        <v>20</v>
      </c>
      <c r="H11">
        <v>0.1</v>
      </c>
      <c r="J11">
        <v>329</v>
      </c>
      <c r="K11" t="s">
        <v>121</v>
      </c>
      <c r="M11" t="s">
        <v>60</v>
      </c>
      <c r="P11" t="s">
        <v>122</v>
      </c>
      <c r="R11" t="s">
        <v>61</v>
      </c>
      <c r="S11" t="s">
        <v>123</v>
      </c>
      <c r="U11" t="s">
        <v>124</v>
      </c>
    </row>
    <row r="12" spans="1:22">
      <c r="A12" t="s">
        <v>125</v>
      </c>
      <c r="B12">
        <v>1304406.8999999999</v>
      </c>
      <c r="C12">
        <v>5048925.0999999996</v>
      </c>
      <c r="D12">
        <v>2214382</v>
      </c>
      <c r="E12">
        <v>5610631</v>
      </c>
      <c r="F12" t="s">
        <v>58</v>
      </c>
      <c r="G12">
        <v>15.9</v>
      </c>
      <c r="H12">
        <v>0.1</v>
      </c>
      <c r="I12">
        <v>-7</v>
      </c>
      <c r="K12" t="s">
        <v>126</v>
      </c>
      <c r="M12" t="s">
        <v>60</v>
      </c>
      <c r="P12" t="s">
        <v>127</v>
      </c>
      <c r="Q12" t="s">
        <v>128</v>
      </c>
      <c r="R12" t="s">
        <v>129</v>
      </c>
      <c r="S12" t="s">
        <v>251</v>
      </c>
      <c r="T12" t="s">
        <v>131</v>
      </c>
      <c r="U12" t="s">
        <v>132</v>
      </c>
      <c r="V12" t="s">
        <v>133</v>
      </c>
    </row>
    <row r="13" spans="1:22">
      <c r="A13" t="s">
        <v>134</v>
      </c>
      <c r="B13">
        <v>1306011.5</v>
      </c>
      <c r="C13">
        <v>5051491</v>
      </c>
      <c r="D13">
        <v>2215987</v>
      </c>
      <c r="E13">
        <v>5613194</v>
      </c>
      <c r="F13" t="s">
        <v>58</v>
      </c>
      <c r="G13">
        <v>26.4</v>
      </c>
      <c r="H13">
        <v>0.1</v>
      </c>
      <c r="I13">
        <v>-17</v>
      </c>
      <c r="J13">
        <v>349</v>
      </c>
      <c r="K13" t="s">
        <v>135</v>
      </c>
      <c r="M13" t="s">
        <v>60</v>
      </c>
      <c r="P13" t="s">
        <v>136</v>
      </c>
      <c r="Q13" t="s">
        <v>137</v>
      </c>
      <c r="R13" t="s">
        <v>138</v>
      </c>
      <c r="S13" t="s">
        <v>139</v>
      </c>
      <c r="T13" t="s">
        <v>140</v>
      </c>
      <c r="U13" t="s">
        <v>141</v>
      </c>
      <c r="V13" t="s">
        <v>142</v>
      </c>
    </row>
    <row r="14" spans="1:22">
      <c r="A14" t="s">
        <v>34</v>
      </c>
      <c r="B14">
        <v>1302223.6000000001</v>
      </c>
      <c r="C14">
        <v>5048292.2</v>
      </c>
      <c r="D14">
        <v>2212200</v>
      </c>
      <c r="E14">
        <v>5610000</v>
      </c>
      <c r="F14" t="s">
        <v>58</v>
      </c>
      <c r="G14">
        <v>24.5</v>
      </c>
      <c r="H14">
        <v>0.1</v>
      </c>
      <c r="I14">
        <v>-12.86</v>
      </c>
      <c r="K14" t="s">
        <v>143</v>
      </c>
      <c r="L14" t="s">
        <v>144</v>
      </c>
      <c r="M14" t="s">
        <v>60</v>
      </c>
      <c r="R14" t="s">
        <v>145</v>
      </c>
      <c r="S14" t="s">
        <v>146</v>
      </c>
      <c r="T14" t="s">
        <v>147</v>
      </c>
      <c r="U14" t="s">
        <v>252</v>
      </c>
    </row>
    <row r="15" spans="1:22">
      <c r="A15" t="s">
        <v>149</v>
      </c>
      <c r="B15">
        <v>1305727</v>
      </c>
      <c r="C15">
        <v>5047193.5999999996</v>
      </c>
      <c r="D15">
        <v>2215700</v>
      </c>
      <c r="E15">
        <v>5608900</v>
      </c>
      <c r="F15" t="s">
        <v>58</v>
      </c>
      <c r="G15">
        <v>40.799999999999997</v>
      </c>
      <c r="H15">
        <v>0.1</v>
      </c>
      <c r="I15">
        <v>-33</v>
      </c>
      <c r="K15" t="s">
        <v>150</v>
      </c>
      <c r="M15" t="s">
        <v>73</v>
      </c>
      <c r="P15" t="s">
        <v>151</v>
      </c>
      <c r="Q15" t="s">
        <v>137</v>
      </c>
      <c r="R15" t="s">
        <v>152</v>
      </c>
      <c r="S15" t="s">
        <v>153</v>
      </c>
      <c r="U15" t="s">
        <v>154</v>
      </c>
    </row>
    <row r="16" spans="1:22">
      <c r="A16" t="s">
        <v>155</v>
      </c>
      <c r="B16">
        <v>1307824.8</v>
      </c>
      <c r="C16">
        <v>5053199.4000000004</v>
      </c>
      <c r="D16">
        <v>2217800</v>
      </c>
      <c r="E16">
        <v>5614900</v>
      </c>
      <c r="F16" t="s">
        <v>58</v>
      </c>
      <c r="G16">
        <v>39.5</v>
      </c>
      <c r="H16">
        <v>0.15</v>
      </c>
      <c r="K16" t="s">
        <v>156</v>
      </c>
      <c r="L16" t="s">
        <v>157</v>
      </c>
      <c r="M16" t="s">
        <v>60</v>
      </c>
      <c r="Q16" t="s">
        <v>158</v>
      </c>
      <c r="R16" t="s">
        <v>159</v>
      </c>
      <c r="S16" t="s">
        <v>160</v>
      </c>
      <c r="T16" t="s">
        <v>161</v>
      </c>
      <c r="U16" t="s">
        <v>162</v>
      </c>
    </row>
    <row r="17" spans="1:22">
      <c r="A17" t="s">
        <v>163</v>
      </c>
      <c r="B17">
        <v>1303476</v>
      </c>
      <c r="C17">
        <v>5047621.5</v>
      </c>
      <c r="D17">
        <v>2213451</v>
      </c>
      <c r="E17">
        <v>5609329</v>
      </c>
      <c r="F17" t="s">
        <v>58</v>
      </c>
      <c r="G17">
        <v>58.63</v>
      </c>
      <c r="H17">
        <v>0.15</v>
      </c>
      <c r="I17">
        <v>-41.64</v>
      </c>
      <c r="K17" t="s">
        <v>164</v>
      </c>
      <c r="L17" t="s">
        <v>165</v>
      </c>
      <c r="M17" t="s">
        <v>71</v>
      </c>
      <c r="N17" t="s">
        <v>96</v>
      </c>
      <c r="O17" t="s">
        <v>60</v>
      </c>
      <c r="R17" t="s">
        <v>61</v>
      </c>
      <c r="S17" t="s">
        <v>166</v>
      </c>
      <c r="T17" t="s">
        <v>165</v>
      </c>
    </row>
    <row r="18" spans="1:22">
      <c r="A18" t="s">
        <v>12</v>
      </c>
      <c r="B18">
        <v>1304967.7</v>
      </c>
      <c r="C18">
        <v>5053085.5999999996</v>
      </c>
      <c r="D18">
        <v>2214945</v>
      </c>
      <c r="E18">
        <v>5614788</v>
      </c>
      <c r="G18">
        <v>25</v>
      </c>
      <c r="H18">
        <v>0.15</v>
      </c>
      <c r="K18" t="s">
        <v>167</v>
      </c>
      <c r="L18" t="s">
        <v>168</v>
      </c>
      <c r="R18" t="s">
        <v>169</v>
      </c>
      <c r="S18" t="s">
        <v>170</v>
      </c>
      <c r="U18" t="s">
        <v>253</v>
      </c>
    </row>
    <row r="19" spans="1:22">
      <c r="A19" t="s">
        <v>14</v>
      </c>
      <c r="B19">
        <v>1307730.8999999999</v>
      </c>
      <c r="C19">
        <v>5043692.3</v>
      </c>
      <c r="D19">
        <v>2217700</v>
      </c>
      <c r="E19">
        <v>5605400</v>
      </c>
      <c r="G19">
        <v>120</v>
      </c>
      <c r="H19">
        <v>0.15</v>
      </c>
      <c r="K19" t="s">
        <v>172</v>
      </c>
      <c r="L19" t="s">
        <v>173</v>
      </c>
      <c r="M19" t="s">
        <v>71</v>
      </c>
      <c r="Q19" t="s">
        <v>137</v>
      </c>
      <c r="R19" t="s">
        <v>174</v>
      </c>
      <c r="S19" t="s">
        <v>175</v>
      </c>
      <c r="T19" t="s">
        <v>176</v>
      </c>
      <c r="U19" t="s">
        <v>177</v>
      </c>
    </row>
    <row r="20" spans="1:22">
      <c r="A20" t="s">
        <v>178</v>
      </c>
      <c r="B20">
        <v>1305557.8999999999</v>
      </c>
      <c r="C20">
        <v>5053628.3</v>
      </c>
      <c r="D20">
        <v>2215535</v>
      </c>
      <c r="E20">
        <v>5615330</v>
      </c>
      <c r="F20" t="s">
        <v>58</v>
      </c>
      <c r="G20">
        <v>48.2</v>
      </c>
      <c r="H20">
        <v>0.125</v>
      </c>
      <c r="I20">
        <v>-32.229999999999997</v>
      </c>
      <c r="K20" t="s">
        <v>179</v>
      </c>
      <c r="L20" t="s">
        <v>254</v>
      </c>
      <c r="M20" t="s">
        <v>60</v>
      </c>
      <c r="Q20" t="s">
        <v>181</v>
      </c>
      <c r="R20" t="s">
        <v>182</v>
      </c>
      <c r="S20" t="s">
        <v>183</v>
      </c>
      <c r="U20" t="s">
        <v>255</v>
      </c>
      <c r="V20" t="s">
        <v>185</v>
      </c>
    </row>
    <row r="21" spans="1:22">
      <c r="A21" t="s">
        <v>186</v>
      </c>
      <c r="B21">
        <v>1299976.2</v>
      </c>
      <c r="C21">
        <v>5047795.4000000004</v>
      </c>
      <c r="D21">
        <v>2209954</v>
      </c>
      <c r="E21">
        <v>5609505</v>
      </c>
      <c r="F21" t="s">
        <v>58</v>
      </c>
      <c r="G21">
        <v>31.9</v>
      </c>
      <c r="H21">
        <v>0.15</v>
      </c>
      <c r="I21">
        <v>-23.75</v>
      </c>
      <c r="K21" t="s">
        <v>187</v>
      </c>
      <c r="L21" t="s">
        <v>188</v>
      </c>
      <c r="M21" t="s">
        <v>189</v>
      </c>
      <c r="R21" t="s">
        <v>61</v>
      </c>
      <c r="S21" t="s">
        <v>190</v>
      </c>
      <c r="T21" t="s">
        <v>191</v>
      </c>
      <c r="U21" t="s">
        <v>192</v>
      </c>
    </row>
    <row r="22" spans="1:22">
      <c r="A22" t="s">
        <v>193</v>
      </c>
      <c r="B22">
        <v>1307526.8</v>
      </c>
      <c r="C22">
        <v>5049696.5999999996</v>
      </c>
      <c r="D22">
        <v>2217500</v>
      </c>
      <c r="E22">
        <v>5611400</v>
      </c>
      <c r="G22">
        <v>45</v>
      </c>
      <c r="H22">
        <v>0.125</v>
      </c>
      <c r="K22" t="s">
        <v>194</v>
      </c>
      <c r="L22" t="s">
        <v>195</v>
      </c>
      <c r="M22" t="s">
        <v>60</v>
      </c>
      <c r="Q22" t="s">
        <v>137</v>
      </c>
      <c r="R22" t="s">
        <v>196</v>
      </c>
      <c r="S22" t="s">
        <v>197</v>
      </c>
      <c r="T22" t="s">
        <v>198</v>
      </c>
      <c r="U22" t="s">
        <v>198</v>
      </c>
    </row>
    <row r="23" spans="1:22">
      <c r="A23" t="s">
        <v>199</v>
      </c>
      <c r="B23">
        <v>1306158.6000000001</v>
      </c>
      <c r="C23">
        <v>5053084.3</v>
      </c>
      <c r="D23">
        <v>2216135</v>
      </c>
      <c r="E23">
        <v>5614786</v>
      </c>
      <c r="F23" t="s">
        <v>58</v>
      </c>
      <c r="G23">
        <v>54</v>
      </c>
      <c r="H23">
        <v>0.75</v>
      </c>
      <c r="I23">
        <v>-28.6</v>
      </c>
      <c r="K23" t="s">
        <v>200</v>
      </c>
      <c r="L23" t="s">
        <v>201</v>
      </c>
      <c r="M23" t="s">
        <v>71</v>
      </c>
      <c r="Q23" t="s">
        <v>256</v>
      </c>
      <c r="R23" t="s">
        <v>61</v>
      </c>
      <c r="S23" t="s">
        <v>98</v>
      </c>
      <c r="U23" t="s">
        <v>100</v>
      </c>
    </row>
    <row r="24" spans="1:22">
      <c r="A24" t="s">
        <v>25</v>
      </c>
      <c r="B24">
        <v>1302258.6000000001</v>
      </c>
      <c r="C24">
        <v>5051549.7</v>
      </c>
      <c r="D24">
        <v>2212237</v>
      </c>
      <c r="E24">
        <v>5613255</v>
      </c>
      <c r="F24" t="s">
        <v>58</v>
      </c>
      <c r="G24">
        <v>27.68</v>
      </c>
      <c r="H24">
        <v>0.15</v>
      </c>
      <c r="I24">
        <v>-21.56</v>
      </c>
      <c r="K24" t="s">
        <v>203</v>
      </c>
      <c r="L24" t="s">
        <v>204</v>
      </c>
      <c r="M24" t="s">
        <v>60</v>
      </c>
      <c r="R24" t="s">
        <v>61</v>
      </c>
      <c r="S24" t="s">
        <v>205</v>
      </c>
      <c r="T24" t="s">
        <v>206</v>
      </c>
      <c r="U24" t="s">
        <v>207</v>
      </c>
    </row>
    <row r="25" spans="1:22">
      <c r="A25" t="s">
        <v>208</v>
      </c>
      <c r="B25">
        <v>1301984.5</v>
      </c>
      <c r="C25">
        <v>5049851.3</v>
      </c>
      <c r="D25">
        <v>2211962</v>
      </c>
      <c r="E25">
        <v>5611558</v>
      </c>
      <c r="G25">
        <v>17.05</v>
      </c>
      <c r="H25">
        <v>0.15</v>
      </c>
      <c r="I25">
        <v>-4.3</v>
      </c>
      <c r="K25" t="s">
        <v>209</v>
      </c>
      <c r="L25" t="s">
        <v>210</v>
      </c>
      <c r="M25" t="s">
        <v>71</v>
      </c>
      <c r="N25" t="s">
        <v>96</v>
      </c>
      <c r="Q25" t="s">
        <v>137</v>
      </c>
      <c r="R25" t="s">
        <v>211</v>
      </c>
      <c r="S25" t="s">
        <v>212</v>
      </c>
      <c r="T25" t="s">
        <v>213</v>
      </c>
      <c r="U25" t="s">
        <v>214</v>
      </c>
    </row>
    <row r="26" spans="1:22">
      <c r="A26" t="s">
        <v>215</v>
      </c>
      <c r="B26">
        <v>1306726.7</v>
      </c>
      <c r="C26">
        <v>5048895.5</v>
      </c>
      <c r="D26">
        <v>2216700</v>
      </c>
      <c r="E26">
        <v>5610600</v>
      </c>
      <c r="G26">
        <v>32</v>
      </c>
      <c r="H26">
        <v>0.125</v>
      </c>
      <c r="K26" t="s">
        <v>216</v>
      </c>
      <c r="L26" t="s">
        <v>217</v>
      </c>
      <c r="M26" t="s">
        <v>60</v>
      </c>
      <c r="R26" t="s">
        <v>61</v>
      </c>
      <c r="S26" t="s">
        <v>218</v>
      </c>
      <c r="U26" t="s">
        <v>219</v>
      </c>
    </row>
    <row r="27" spans="1:22">
      <c r="A27" t="s">
        <v>9</v>
      </c>
      <c r="B27">
        <v>1302511.3</v>
      </c>
      <c r="C27">
        <v>5047564.8</v>
      </c>
      <c r="D27">
        <v>2212487</v>
      </c>
      <c r="E27">
        <v>5609273</v>
      </c>
      <c r="F27" t="s">
        <v>58</v>
      </c>
      <c r="G27">
        <v>45</v>
      </c>
      <c r="H27">
        <v>0.18</v>
      </c>
      <c r="K27" t="s">
        <v>109</v>
      </c>
      <c r="L27" t="s">
        <v>110</v>
      </c>
      <c r="M27" t="s">
        <v>96</v>
      </c>
      <c r="Q27" t="s">
        <v>220</v>
      </c>
      <c r="R27" t="s">
        <v>221</v>
      </c>
      <c r="S27" t="s">
        <v>113</v>
      </c>
      <c r="U27" t="s">
        <v>250</v>
      </c>
    </row>
    <row r="28" spans="1:22">
      <c r="A28" t="s">
        <v>35</v>
      </c>
      <c r="B28">
        <v>1303682.7</v>
      </c>
      <c r="C28">
        <v>5051520.5999999996</v>
      </c>
      <c r="D28">
        <v>2213660</v>
      </c>
      <c r="E28">
        <v>5613225</v>
      </c>
      <c r="G28">
        <v>20</v>
      </c>
      <c r="H28">
        <v>0.1</v>
      </c>
      <c r="K28" t="s">
        <v>222</v>
      </c>
      <c r="L28" t="s">
        <v>223</v>
      </c>
      <c r="M28" t="s">
        <v>60</v>
      </c>
      <c r="N28" t="s">
        <v>96</v>
      </c>
      <c r="Q28" t="s">
        <v>224</v>
      </c>
      <c r="R28" t="s">
        <v>225</v>
      </c>
      <c r="S28" t="s">
        <v>226</v>
      </c>
      <c r="T28" t="s">
        <v>227</v>
      </c>
    </row>
    <row r="29" spans="1:22">
      <c r="A29" t="s">
        <v>228</v>
      </c>
      <c r="B29">
        <v>1300336.8</v>
      </c>
      <c r="C29">
        <v>5047269.2</v>
      </c>
      <c r="D29">
        <v>2210314</v>
      </c>
      <c r="E29">
        <v>5608979</v>
      </c>
      <c r="F29" t="s">
        <v>58</v>
      </c>
      <c r="G29">
        <v>34.94</v>
      </c>
      <c r="H29">
        <v>0.15</v>
      </c>
      <c r="I29">
        <v>-21.53</v>
      </c>
      <c r="K29" t="s">
        <v>229</v>
      </c>
      <c r="L29" t="s">
        <v>230</v>
      </c>
      <c r="Q29" t="s">
        <v>231</v>
      </c>
      <c r="R29" t="s">
        <v>232</v>
      </c>
      <c r="S29" t="s">
        <v>257</v>
      </c>
      <c r="T29" t="s">
        <v>234</v>
      </c>
      <c r="U29" t="s">
        <v>235</v>
      </c>
    </row>
    <row r="30" spans="1:22">
      <c r="A30" t="s">
        <v>16</v>
      </c>
      <c r="B30">
        <v>1303566.3</v>
      </c>
      <c r="C30">
        <v>5048821.5</v>
      </c>
      <c r="D30">
        <v>2213542</v>
      </c>
      <c r="E30">
        <v>5610528</v>
      </c>
      <c r="F30" t="s">
        <v>58</v>
      </c>
      <c r="G30">
        <v>17.7</v>
      </c>
      <c r="H30">
        <v>0.125</v>
      </c>
      <c r="I30">
        <v>-8.5</v>
      </c>
      <c r="K30" t="s">
        <v>27</v>
      </c>
      <c r="L30" t="s">
        <v>236</v>
      </c>
      <c r="M30" t="s">
        <v>60</v>
      </c>
      <c r="Q30" t="s">
        <v>137</v>
      </c>
      <c r="R30" t="s">
        <v>237</v>
      </c>
      <c r="S30" t="s">
        <v>238</v>
      </c>
      <c r="T30" t="s">
        <v>239</v>
      </c>
      <c r="U30" t="s">
        <v>240</v>
      </c>
      <c r="V30" t="s">
        <v>241</v>
      </c>
    </row>
    <row r="31" spans="1:22">
      <c r="A31" t="s">
        <v>242</v>
      </c>
      <c r="B31">
        <v>1305512.7</v>
      </c>
      <c r="C31">
        <v>5048998.8</v>
      </c>
      <c r="D31">
        <v>2215487</v>
      </c>
      <c r="E31">
        <v>5610704</v>
      </c>
      <c r="F31" t="s">
        <v>58</v>
      </c>
      <c r="G31">
        <v>20.37</v>
      </c>
      <c r="H31">
        <v>0.125</v>
      </c>
      <c r="I31">
        <v>-11.92</v>
      </c>
      <c r="J31">
        <v>339</v>
      </c>
      <c r="K31" t="s">
        <v>243</v>
      </c>
      <c r="L31" t="s">
        <v>244</v>
      </c>
      <c r="M31" t="s">
        <v>60</v>
      </c>
      <c r="R31" t="s">
        <v>61</v>
      </c>
      <c r="S31" t="s">
        <v>245</v>
      </c>
      <c r="T31" t="s">
        <v>246</v>
      </c>
      <c r="U31" t="s">
        <v>247</v>
      </c>
    </row>
    <row r="33" spans="1:22">
      <c r="B33">
        <v>1305381.5</v>
      </c>
      <c r="C33">
        <v>5047623.7</v>
      </c>
      <c r="D33">
        <v>2215355</v>
      </c>
      <c r="E33">
        <v>5609330</v>
      </c>
      <c r="I33">
        <v>-11.595000000000001</v>
      </c>
      <c r="L33" t="s">
        <v>276</v>
      </c>
      <c r="Q33" t="s">
        <v>277</v>
      </c>
      <c r="V33" t="s">
        <v>278</v>
      </c>
    </row>
    <row r="34" spans="1:22">
      <c r="B34">
        <v>1304944.1000000001</v>
      </c>
      <c r="C34">
        <v>5047695.5</v>
      </c>
      <c r="D34">
        <v>2214918</v>
      </c>
      <c r="E34">
        <v>5609402</v>
      </c>
      <c r="I34">
        <v>-10.92</v>
      </c>
      <c r="L34" t="s">
        <v>279</v>
      </c>
      <c r="Q34" t="s">
        <v>280</v>
      </c>
      <c r="V34" t="s">
        <v>281</v>
      </c>
    </row>
    <row r="36" spans="1:22">
      <c r="B36">
        <v>1301187.3999999999</v>
      </c>
      <c r="C36">
        <v>5044342.4000000004</v>
      </c>
      <c r="D36">
        <v>2211162</v>
      </c>
      <c r="E36">
        <v>5606054</v>
      </c>
      <c r="K36" t="s">
        <v>282</v>
      </c>
      <c r="L36" t="s">
        <v>283</v>
      </c>
      <c r="Q36" t="s">
        <v>284</v>
      </c>
      <c r="V36" t="s">
        <v>285</v>
      </c>
    </row>
    <row r="37" spans="1:22">
      <c r="B37">
        <v>1301189.5</v>
      </c>
      <c r="C37">
        <v>5044235.4000000004</v>
      </c>
      <c r="D37">
        <v>2211164</v>
      </c>
      <c r="E37">
        <v>5605947</v>
      </c>
      <c r="K37" t="s">
        <v>119</v>
      </c>
      <c r="L37" t="s">
        <v>286</v>
      </c>
      <c r="Q37" t="s">
        <v>119</v>
      </c>
      <c r="V37" t="s">
        <v>287</v>
      </c>
    </row>
    <row r="39" spans="1:22">
      <c r="B39">
        <v>1305974</v>
      </c>
      <c r="C39">
        <v>5050728.4000000004</v>
      </c>
      <c r="D39">
        <v>2215949</v>
      </c>
      <c r="E39">
        <v>5612432</v>
      </c>
      <c r="K39" t="s">
        <v>288</v>
      </c>
      <c r="L39" t="s">
        <v>289</v>
      </c>
    </row>
    <row r="40" spans="1:22">
      <c r="A40" t="s">
        <v>290</v>
      </c>
      <c r="B40">
        <v>1308005.8999999999</v>
      </c>
      <c r="C40">
        <v>5053195.5</v>
      </c>
      <c r="D40">
        <v>2217981</v>
      </c>
      <c r="E40">
        <v>5614896</v>
      </c>
      <c r="K40" t="s">
        <v>291</v>
      </c>
      <c r="L40" t="s">
        <v>292</v>
      </c>
      <c r="V40" t="s">
        <v>293</v>
      </c>
    </row>
    <row r="41" spans="1:22">
      <c r="B41">
        <v>1308293.2</v>
      </c>
      <c r="C41">
        <v>5053172.5999999996</v>
      </c>
      <c r="D41">
        <v>2218268</v>
      </c>
      <c r="E41">
        <v>5614873</v>
      </c>
      <c r="K41" t="s">
        <v>294</v>
      </c>
      <c r="L41" t="s">
        <v>295</v>
      </c>
      <c r="Q41" t="s">
        <v>296</v>
      </c>
      <c r="S41" t="s">
        <v>297</v>
      </c>
      <c r="V41" t="s">
        <v>298</v>
      </c>
    </row>
    <row r="42" spans="1:22">
      <c r="S42" t="s">
        <v>299</v>
      </c>
      <c r="V42" t="s">
        <v>300</v>
      </c>
    </row>
    <row r="43" spans="1:22">
      <c r="B43">
        <v>1306137.3999999999</v>
      </c>
      <c r="C43">
        <v>5051748.3</v>
      </c>
      <c r="D43">
        <v>2216113</v>
      </c>
      <c r="E43">
        <v>5613451</v>
      </c>
      <c r="K43" t="s">
        <v>301</v>
      </c>
      <c r="L43" t="s">
        <v>302</v>
      </c>
      <c r="R43" t="s">
        <v>303</v>
      </c>
      <c r="V43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4"/>
  <sheetViews>
    <sheetView workbookViewId="0">
      <selection activeCell="C36" sqref="C36"/>
    </sheetView>
  </sheetViews>
  <sheetFormatPr defaultRowHeight="15"/>
  <sheetData>
    <row r="1" spans="1:22" ht="36">
      <c r="A1" s="3" t="s">
        <v>38</v>
      </c>
      <c r="B1" s="4" t="s">
        <v>1</v>
      </c>
      <c r="C1" s="4" t="s">
        <v>2</v>
      </c>
      <c r="D1" s="4" t="s">
        <v>39</v>
      </c>
      <c r="E1" s="4" t="s">
        <v>40</v>
      </c>
      <c r="F1" s="4" t="s">
        <v>41</v>
      </c>
      <c r="G1" s="4" t="s">
        <v>42</v>
      </c>
      <c r="H1" s="5" t="s">
        <v>43</v>
      </c>
      <c r="I1" s="4" t="s">
        <v>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</row>
    <row r="2" spans="1:22" ht="96">
      <c r="A2" s="6" t="s">
        <v>57</v>
      </c>
      <c r="B2" s="7">
        <v>1300221.8999999999</v>
      </c>
      <c r="C2" s="7">
        <v>5048491.0999999996</v>
      </c>
      <c r="D2" s="7">
        <v>2210200</v>
      </c>
      <c r="E2" s="7">
        <v>5610200</v>
      </c>
      <c r="F2" s="7" t="s">
        <v>58</v>
      </c>
      <c r="G2" s="7">
        <v>28.1</v>
      </c>
      <c r="H2" s="8">
        <v>0.1</v>
      </c>
      <c r="I2" s="7">
        <v>-22.2</v>
      </c>
      <c r="J2" s="7"/>
      <c r="K2" s="7" t="s">
        <v>59</v>
      </c>
      <c r="L2" s="7"/>
      <c r="M2" s="7" t="s">
        <v>60</v>
      </c>
      <c r="N2" s="7"/>
      <c r="O2" s="7"/>
      <c r="P2" s="7"/>
      <c r="Q2" s="7"/>
      <c r="R2" s="7" t="s">
        <v>61</v>
      </c>
      <c r="S2" s="7" t="s">
        <v>62</v>
      </c>
      <c r="T2" s="7"/>
      <c r="U2" s="7" t="s">
        <v>63</v>
      </c>
      <c r="V2" s="7"/>
    </row>
    <row r="3" spans="1:22" ht="48">
      <c r="A3" s="6" t="s">
        <v>13</v>
      </c>
      <c r="B3" s="7">
        <v>1305531.3</v>
      </c>
      <c r="C3" s="7">
        <v>5040688.5</v>
      </c>
      <c r="D3" s="7">
        <v>2215500</v>
      </c>
      <c r="E3" s="7">
        <v>5602400</v>
      </c>
      <c r="F3" s="7"/>
      <c r="G3" s="7">
        <v>33</v>
      </c>
      <c r="H3" s="8">
        <v>0.1</v>
      </c>
      <c r="I3" s="7"/>
      <c r="J3" s="7"/>
      <c r="K3" s="7" t="s">
        <v>64</v>
      </c>
      <c r="L3" s="7"/>
      <c r="M3" s="7" t="s">
        <v>60</v>
      </c>
      <c r="N3" s="7"/>
      <c r="O3" s="7"/>
      <c r="P3" s="7"/>
      <c r="Q3" s="7" t="s">
        <v>65</v>
      </c>
      <c r="R3" s="7" t="s">
        <v>66</v>
      </c>
      <c r="S3" s="7" t="s">
        <v>29</v>
      </c>
      <c r="T3" s="7" t="s">
        <v>67</v>
      </c>
      <c r="U3" s="7" t="s">
        <v>68</v>
      </c>
      <c r="V3" s="7"/>
    </row>
    <row r="4" spans="1:22" ht="72">
      <c r="A4" s="6" t="s">
        <v>69</v>
      </c>
      <c r="B4" s="7">
        <v>1302821.1000000001</v>
      </c>
      <c r="C4" s="7">
        <v>5053096.3</v>
      </c>
      <c r="D4" s="7">
        <v>2212800</v>
      </c>
      <c r="E4" s="7">
        <v>5614800</v>
      </c>
      <c r="F4" s="7"/>
      <c r="G4" s="7">
        <v>50</v>
      </c>
      <c r="H4" s="8">
        <v>0.1</v>
      </c>
      <c r="I4" s="7"/>
      <c r="J4" s="7"/>
      <c r="K4" s="7" t="s">
        <v>70</v>
      </c>
      <c r="L4" s="7"/>
      <c r="M4" s="7" t="s">
        <v>71</v>
      </c>
      <c r="N4" s="7" t="s">
        <v>72</v>
      </c>
      <c r="O4" s="7" t="s">
        <v>73</v>
      </c>
      <c r="P4" s="7"/>
      <c r="Q4" s="7"/>
      <c r="R4" s="7" t="s">
        <v>74</v>
      </c>
      <c r="S4" s="7" t="s">
        <v>75</v>
      </c>
      <c r="T4" s="7" t="s">
        <v>76</v>
      </c>
      <c r="U4" s="7" t="s">
        <v>77</v>
      </c>
      <c r="V4" s="7"/>
    </row>
    <row r="5" spans="1:22" ht="96">
      <c r="A5" s="7" t="s">
        <v>78</v>
      </c>
      <c r="B5" s="7">
        <v>1305624.8999999999</v>
      </c>
      <c r="C5" s="7">
        <v>5050395.9000000004</v>
      </c>
      <c r="D5" s="9">
        <v>2215600</v>
      </c>
      <c r="E5" s="9">
        <v>5612100</v>
      </c>
      <c r="F5" s="7"/>
      <c r="G5" s="7">
        <v>16.5</v>
      </c>
      <c r="H5" s="7">
        <v>0.1</v>
      </c>
      <c r="I5" s="7"/>
      <c r="J5" s="7"/>
      <c r="K5" s="7" t="s">
        <v>79</v>
      </c>
      <c r="L5" s="7" t="s">
        <v>80</v>
      </c>
      <c r="M5" s="7" t="s">
        <v>60</v>
      </c>
      <c r="N5" s="7"/>
      <c r="O5" s="7"/>
      <c r="P5" s="7" t="s">
        <v>81</v>
      </c>
      <c r="Q5" s="9" t="s">
        <v>82</v>
      </c>
      <c r="R5" s="7" t="s">
        <v>61</v>
      </c>
      <c r="S5" s="7" t="s">
        <v>83</v>
      </c>
      <c r="T5" s="7"/>
      <c r="U5" s="7" t="s">
        <v>84</v>
      </c>
      <c r="V5" s="4" t="s">
        <v>85</v>
      </c>
    </row>
    <row r="6" spans="1:22" ht="60">
      <c r="A6" s="6" t="s">
        <v>86</v>
      </c>
      <c r="B6" s="7">
        <v>1307523.3</v>
      </c>
      <c r="C6" s="7">
        <v>5055400.8</v>
      </c>
      <c r="D6" s="7">
        <v>2217500</v>
      </c>
      <c r="E6" s="7">
        <v>5617100</v>
      </c>
      <c r="F6" s="7"/>
      <c r="G6" s="7">
        <v>40.5</v>
      </c>
      <c r="H6" s="8">
        <v>0.1</v>
      </c>
      <c r="I6" s="7"/>
      <c r="J6" s="7"/>
      <c r="K6" s="7" t="s">
        <v>87</v>
      </c>
      <c r="L6" s="7" t="s">
        <v>88</v>
      </c>
      <c r="M6" s="7" t="s">
        <v>60</v>
      </c>
      <c r="N6" s="7"/>
      <c r="O6" s="7"/>
      <c r="P6" s="7"/>
      <c r="Q6" s="7"/>
      <c r="R6" s="7" t="s">
        <v>89</v>
      </c>
      <c r="S6" s="7" t="s">
        <v>90</v>
      </c>
      <c r="T6" s="7" t="s">
        <v>91</v>
      </c>
      <c r="U6" s="7" t="s">
        <v>92</v>
      </c>
      <c r="V6" s="7"/>
    </row>
    <row r="7" spans="1:22" ht="60">
      <c r="A7" s="6" t="s">
        <v>93</v>
      </c>
      <c r="B7" s="7">
        <v>1308324.3</v>
      </c>
      <c r="C7" s="7">
        <v>5054700.8</v>
      </c>
      <c r="D7" s="7">
        <v>2218300</v>
      </c>
      <c r="E7" s="7">
        <v>5616400</v>
      </c>
      <c r="F7" s="7" t="s">
        <v>58</v>
      </c>
      <c r="G7" s="7">
        <v>22.1</v>
      </c>
      <c r="H7" s="8">
        <v>0.1</v>
      </c>
      <c r="I7" s="7">
        <v>-12</v>
      </c>
      <c r="J7" s="7"/>
      <c r="K7" s="7" t="s">
        <v>94</v>
      </c>
      <c r="L7" s="7" t="s">
        <v>95</v>
      </c>
      <c r="M7" s="7" t="s">
        <v>60</v>
      </c>
      <c r="N7" s="7" t="s">
        <v>96</v>
      </c>
      <c r="O7" s="7"/>
      <c r="P7" s="7" t="s">
        <v>97</v>
      </c>
      <c r="Q7" s="7"/>
      <c r="R7" s="7" t="s">
        <v>61</v>
      </c>
      <c r="S7" s="7" t="s">
        <v>98</v>
      </c>
      <c r="T7" s="7" t="s">
        <v>99</v>
      </c>
      <c r="U7" s="7" t="s">
        <v>100</v>
      </c>
      <c r="V7" s="7"/>
    </row>
    <row r="8" spans="1:22" ht="72">
      <c r="A8" s="6" t="s">
        <v>101</v>
      </c>
      <c r="B8" s="7">
        <v>1307625.8</v>
      </c>
      <c r="C8" s="7">
        <v>5051297.8</v>
      </c>
      <c r="D8" s="7">
        <v>2217600</v>
      </c>
      <c r="E8" s="7">
        <v>5613000</v>
      </c>
      <c r="F8" s="7" t="s">
        <v>58</v>
      </c>
      <c r="G8" s="7">
        <v>59.7</v>
      </c>
      <c r="H8" s="8">
        <v>0.125</v>
      </c>
      <c r="I8" s="7">
        <v>-47.18</v>
      </c>
      <c r="J8" s="7"/>
      <c r="K8" s="7" t="s">
        <v>102</v>
      </c>
      <c r="L8" s="7" t="s">
        <v>103</v>
      </c>
      <c r="M8" s="7" t="s">
        <v>60</v>
      </c>
      <c r="N8" s="7"/>
      <c r="O8" s="7"/>
      <c r="P8" s="7"/>
      <c r="Q8" s="7" t="s">
        <v>104</v>
      </c>
      <c r="R8" s="7" t="s">
        <v>105</v>
      </c>
      <c r="S8" s="7" t="s">
        <v>106</v>
      </c>
      <c r="T8" s="7"/>
      <c r="U8" s="7" t="s">
        <v>107</v>
      </c>
      <c r="V8" s="7"/>
    </row>
    <row r="9" spans="1:22" ht="96">
      <c r="A9" s="6" t="s">
        <v>108</v>
      </c>
      <c r="B9" s="7">
        <v>1305493.5</v>
      </c>
      <c r="C9" s="7">
        <v>5046167.7</v>
      </c>
      <c r="D9" s="7">
        <v>2215466</v>
      </c>
      <c r="E9" s="7">
        <v>5607875</v>
      </c>
      <c r="F9" s="7" t="s">
        <v>58</v>
      </c>
      <c r="G9" s="7">
        <v>111.2</v>
      </c>
      <c r="H9" s="8">
        <v>0.16</v>
      </c>
      <c r="I9" s="7">
        <v>-93.35</v>
      </c>
      <c r="J9" s="7"/>
      <c r="K9" s="7" t="s">
        <v>109</v>
      </c>
      <c r="L9" s="7" t="s">
        <v>110</v>
      </c>
      <c r="M9" s="7" t="s">
        <v>60</v>
      </c>
      <c r="N9" s="7" t="s">
        <v>96</v>
      </c>
      <c r="O9" s="7"/>
      <c r="P9" s="7"/>
      <c r="Q9" s="7" t="s">
        <v>111</v>
      </c>
      <c r="R9" s="9" t="s">
        <v>112</v>
      </c>
      <c r="S9" s="7" t="s">
        <v>113</v>
      </c>
      <c r="T9" s="7" t="s">
        <v>114</v>
      </c>
      <c r="U9" s="7" t="s">
        <v>115</v>
      </c>
      <c r="V9" s="7"/>
    </row>
    <row r="10" spans="1:22" ht="24">
      <c r="A10" s="6" t="s">
        <v>116</v>
      </c>
      <c r="B10" s="7">
        <v>1301225.1000000001</v>
      </c>
      <c r="C10" s="7">
        <v>5044788.8</v>
      </c>
      <c r="D10" s="7">
        <v>2211200</v>
      </c>
      <c r="E10" s="7">
        <v>5606500</v>
      </c>
      <c r="F10" s="7"/>
      <c r="G10" s="7">
        <v>40</v>
      </c>
      <c r="H10" s="8">
        <v>0.1</v>
      </c>
      <c r="I10" s="7"/>
      <c r="J10" s="7"/>
      <c r="K10" s="7" t="s">
        <v>117</v>
      </c>
      <c r="L10" s="7"/>
      <c r="M10" s="7"/>
      <c r="N10" s="7"/>
      <c r="O10" s="7"/>
      <c r="P10" s="7"/>
      <c r="Q10" s="7" t="s">
        <v>118</v>
      </c>
      <c r="R10" s="7" t="s">
        <v>119</v>
      </c>
      <c r="S10" s="7" t="s">
        <v>113</v>
      </c>
      <c r="T10" s="7"/>
      <c r="U10" s="7" t="s">
        <v>115</v>
      </c>
      <c r="V10" s="7"/>
    </row>
    <row r="11" spans="1:22" ht="84">
      <c r="A11" s="6" t="s">
        <v>120</v>
      </c>
      <c r="B11" s="7">
        <v>1305589.5</v>
      </c>
      <c r="C11" s="7">
        <v>5047911</v>
      </c>
      <c r="D11" s="7">
        <v>2215563</v>
      </c>
      <c r="E11" s="7">
        <v>5609617</v>
      </c>
      <c r="F11" s="7"/>
      <c r="G11" s="7">
        <v>20</v>
      </c>
      <c r="H11" s="7">
        <v>0.1</v>
      </c>
      <c r="I11" s="7"/>
      <c r="J11" s="7">
        <v>329</v>
      </c>
      <c r="K11" s="7" t="s">
        <v>121</v>
      </c>
      <c r="L11" s="7"/>
      <c r="M11" s="7" t="s">
        <v>60</v>
      </c>
      <c r="N11" s="7"/>
      <c r="O11" s="7"/>
      <c r="P11" s="7" t="s">
        <v>122</v>
      </c>
      <c r="Q11" s="7"/>
      <c r="R11" s="7" t="s">
        <v>61</v>
      </c>
      <c r="S11" s="7" t="s">
        <v>123</v>
      </c>
      <c r="T11" s="7"/>
      <c r="U11" s="7" t="s">
        <v>124</v>
      </c>
      <c r="V11" s="7"/>
    </row>
    <row r="12" spans="1:22" ht="96">
      <c r="A12" s="6" t="s">
        <v>125</v>
      </c>
      <c r="B12" s="7">
        <v>1304406.8999999999</v>
      </c>
      <c r="C12" s="7">
        <v>5048925.0999999996</v>
      </c>
      <c r="D12" s="7">
        <v>2214382</v>
      </c>
      <c r="E12" s="7">
        <v>5610631</v>
      </c>
      <c r="F12" s="7" t="s">
        <v>58</v>
      </c>
      <c r="G12" s="7">
        <v>15.9</v>
      </c>
      <c r="H12" s="8">
        <v>0.1</v>
      </c>
      <c r="I12" s="7">
        <v>-7</v>
      </c>
      <c r="J12" s="7"/>
      <c r="K12" s="7" t="s">
        <v>126</v>
      </c>
      <c r="L12" s="7"/>
      <c r="M12" s="7" t="s">
        <v>60</v>
      </c>
      <c r="N12" s="7"/>
      <c r="O12" s="7"/>
      <c r="P12" s="7" t="s">
        <v>127</v>
      </c>
      <c r="Q12" s="7" t="s">
        <v>128</v>
      </c>
      <c r="R12" s="7" t="s">
        <v>129</v>
      </c>
      <c r="S12" s="9" t="s">
        <v>130</v>
      </c>
      <c r="T12" s="7" t="s">
        <v>131</v>
      </c>
      <c r="U12" s="7" t="s">
        <v>132</v>
      </c>
      <c r="V12" s="4" t="s">
        <v>133</v>
      </c>
    </row>
    <row r="13" spans="1:22" ht="60">
      <c r="A13" s="6" t="s">
        <v>134</v>
      </c>
      <c r="B13" s="7">
        <v>1306011.5</v>
      </c>
      <c r="C13" s="7">
        <v>5051491</v>
      </c>
      <c r="D13" s="7">
        <v>2215987</v>
      </c>
      <c r="E13" s="7">
        <v>5613194</v>
      </c>
      <c r="F13" s="7" t="s">
        <v>58</v>
      </c>
      <c r="G13" s="7">
        <v>26.4</v>
      </c>
      <c r="H13" s="8">
        <v>0.1</v>
      </c>
      <c r="I13" s="7">
        <v>-17</v>
      </c>
      <c r="J13" s="7">
        <v>349</v>
      </c>
      <c r="K13" s="7" t="s">
        <v>135</v>
      </c>
      <c r="L13" s="7"/>
      <c r="M13" s="7" t="s">
        <v>60</v>
      </c>
      <c r="N13" s="7"/>
      <c r="O13" s="7"/>
      <c r="P13" s="7" t="s">
        <v>136</v>
      </c>
      <c r="Q13" s="7" t="s">
        <v>137</v>
      </c>
      <c r="R13" s="7" t="s">
        <v>138</v>
      </c>
      <c r="S13" s="7" t="s">
        <v>139</v>
      </c>
      <c r="T13" s="7" t="s">
        <v>140</v>
      </c>
      <c r="U13" s="7" t="s">
        <v>141</v>
      </c>
      <c r="V13" s="4" t="s">
        <v>142</v>
      </c>
    </row>
    <row r="14" spans="1:22" ht="60">
      <c r="A14" s="6" t="s">
        <v>34</v>
      </c>
      <c r="B14" s="7">
        <v>1302223.6000000001</v>
      </c>
      <c r="C14" s="7">
        <v>5048292.2</v>
      </c>
      <c r="D14" s="7">
        <v>2212200</v>
      </c>
      <c r="E14" s="7">
        <v>5610000</v>
      </c>
      <c r="F14" s="7" t="s">
        <v>58</v>
      </c>
      <c r="G14" s="7">
        <v>24.5</v>
      </c>
      <c r="H14" s="8">
        <v>0.1</v>
      </c>
      <c r="I14" s="7">
        <v>-12.86</v>
      </c>
      <c r="J14" s="7"/>
      <c r="K14" s="7" t="s">
        <v>143</v>
      </c>
      <c r="L14" s="7" t="s">
        <v>144</v>
      </c>
      <c r="M14" s="7" t="s">
        <v>60</v>
      </c>
      <c r="N14" s="7"/>
      <c r="O14" s="7"/>
      <c r="P14" s="7"/>
      <c r="Q14" s="7"/>
      <c r="R14" s="7" t="s">
        <v>145</v>
      </c>
      <c r="S14" s="7" t="s">
        <v>146</v>
      </c>
      <c r="T14" s="7" t="s">
        <v>147</v>
      </c>
      <c r="U14" s="7" t="s">
        <v>148</v>
      </c>
      <c r="V14" s="7"/>
    </row>
    <row r="15" spans="1:22" ht="36">
      <c r="A15" s="6" t="s">
        <v>149</v>
      </c>
      <c r="B15" s="7">
        <v>1305727</v>
      </c>
      <c r="C15" s="7">
        <v>5047193.5999999996</v>
      </c>
      <c r="D15" s="7">
        <v>2215700</v>
      </c>
      <c r="E15" s="7">
        <v>5608900</v>
      </c>
      <c r="F15" s="7" t="s">
        <v>58</v>
      </c>
      <c r="G15" s="7">
        <v>40.799999999999997</v>
      </c>
      <c r="H15" s="8">
        <v>0.1</v>
      </c>
      <c r="I15" s="7">
        <v>-33</v>
      </c>
      <c r="J15" s="7"/>
      <c r="K15" s="7" t="s">
        <v>150</v>
      </c>
      <c r="L15" s="7"/>
      <c r="M15" s="7" t="s">
        <v>73</v>
      </c>
      <c r="N15" s="7"/>
      <c r="O15" s="7"/>
      <c r="P15" s="7" t="s">
        <v>151</v>
      </c>
      <c r="Q15" s="7" t="s">
        <v>137</v>
      </c>
      <c r="R15" s="7" t="s">
        <v>152</v>
      </c>
      <c r="S15" s="7" t="s">
        <v>153</v>
      </c>
      <c r="T15" s="7"/>
      <c r="U15" s="7" t="s">
        <v>154</v>
      </c>
      <c r="V15" s="7"/>
    </row>
    <row r="16" spans="1:22" ht="48">
      <c r="A16" s="6" t="s">
        <v>155</v>
      </c>
      <c r="B16" s="7">
        <v>1307824.8</v>
      </c>
      <c r="C16" s="7">
        <v>5053199.4000000004</v>
      </c>
      <c r="D16" s="7">
        <v>2217800</v>
      </c>
      <c r="E16" s="7">
        <v>5614900</v>
      </c>
      <c r="F16" s="7" t="s">
        <v>58</v>
      </c>
      <c r="G16" s="7">
        <v>39.5</v>
      </c>
      <c r="H16" s="8">
        <v>0.15</v>
      </c>
      <c r="I16" s="7"/>
      <c r="J16" s="7"/>
      <c r="K16" s="7" t="s">
        <v>156</v>
      </c>
      <c r="L16" s="7" t="s">
        <v>157</v>
      </c>
      <c r="M16" s="7" t="s">
        <v>60</v>
      </c>
      <c r="N16" s="7"/>
      <c r="O16" s="7"/>
      <c r="P16" s="7"/>
      <c r="Q16" s="7" t="s">
        <v>158</v>
      </c>
      <c r="R16" s="7" t="s">
        <v>159</v>
      </c>
      <c r="S16" s="7" t="s">
        <v>160</v>
      </c>
      <c r="T16" s="7" t="s">
        <v>161</v>
      </c>
      <c r="U16" s="7" t="s">
        <v>162</v>
      </c>
      <c r="V16" s="7"/>
    </row>
    <row r="17" spans="1:24" ht="60">
      <c r="A17" s="6" t="s">
        <v>163</v>
      </c>
      <c r="B17" s="7">
        <v>1303476</v>
      </c>
      <c r="C17" s="7">
        <v>5047621.5</v>
      </c>
      <c r="D17" s="7">
        <v>2213451</v>
      </c>
      <c r="E17" s="7">
        <v>5609329</v>
      </c>
      <c r="F17" s="7" t="s">
        <v>58</v>
      </c>
      <c r="G17" s="7">
        <v>58.63</v>
      </c>
      <c r="H17" s="8">
        <v>0.15</v>
      </c>
      <c r="I17" s="7">
        <v>-41.64</v>
      </c>
      <c r="J17" s="7"/>
      <c r="K17" s="7" t="s">
        <v>164</v>
      </c>
      <c r="L17" s="7" t="s">
        <v>165</v>
      </c>
      <c r="M17" s="7" t="s">
        <v>71</v>
      </c>
      <c r="N17" s="7" t="s">
        <v>96</v>
      </c>
      <c r="O17" s="7" t="s">
        <v>60</v>
      </c>
      <c r="P17" s="7"/>
      <c r="Q17" s="7"/>
      <c r="R17" s="7" t="s">
        <v>61</v>
      </c>
      <c r="S17" s="7" t="s">
        <v>166</v>
      </c>
      <c r="T17" s="7" t="s">
        <v>165</v>
      </c>
      <c r="U17" s="7"/>
      <c r="V17" s="7"/>
    </row>
    <row r="18" spans="1:24" ht="48">
      <c r="A18" s="6" t="s">
        <v>12</v>
      </c>
      <c r="B18" s="7">
        <v>1304967.7</v>
      </c>
      <c r="C18" s="7">
        <v>5053085.5999999996</v>
      </c>
      <c r="D18" s="7">
        <v>2214945</v>
      </c>
      <c r="E18" s="7">
        <v>5614788</v>
      </c>
      <c r="F18" s="7"/>
      <c r="G18" s="7">
        <v>25</v>
      </c>
      <c r="H18" s="8">
        <v>0.15</v>
      </c>
      <c r="I18" s="7"/>
      <c r="J18" s="7"/>
      <c r="K18" s="7" t="s">
        <v>167</v>
      </c>
      <c r="L18" s="7" t="s">
        <v>168</v>
      </c>
      <c r="M18" s="7"/>
      <c r="N18" s="7"/>
      <c r="O18" s="7"/>
      <c r="P18" s="7"/>
      <c r="Q18" s="7"/>
      <c r="R18" s="7" t="s">
        <v>169</v>
      </c>
      <c r="S18" s="7" t="s">
        <v>170</v>
      </c>
      <c r="T18" s="7"/>
      <c r="U18" s="7" t="s">
        <v>171</v>
      </c>
      <c r="V18" s="7"/>
    </row>
    <row r="19" spans="1:24" ht="72">
      <c r="A19" s="6" t="s">
        <v>14</v>
      </c>
      <c r="B19" s="7">
        <v>1307730.8999999999</v>
      </c>
      <c r="C19" s="7">
        <v>5043692.3</v>
      </c>
      <c r="D19" s="7">
        <v>2217700</v>
      </c>
      <c r="E19" s="7">
        <v>5605400</v>
      </c>
      <c r="F19" s="7"/>
      <c r="G19" s="7">
        <v>120</v>
      </c>
      <c r="H19" s="8">
        <v>0.15</v>
      </c>
      <c r="I19" s="7"/>
      <c r="J19" s="7"/>
      <c r="K19" s="7" t="s">
        <v>172</v>
      </c>
      <c r="L19" s="7" t="s">
        <v>173</v>
      </c>
      <c r="M19" s="7" t="s">
        <v>71</v>
      </c>
      <c r="N19" s="7"/>
      <c r="O19" s="7"/>
      <c r="P19" s="7"/>
      <c r="Q19" s="7" t="s">
        <v>137</v>
      </c>
      <c r="R19" s="7" t="s">
        <v>174</v>
      </c>
      <c r="S19" s="7" t="s">
        <v>175</v>
      </c>
      <c r="T19" s="7" t="s">
        <v>176</v>
      </c>
      <c r="U19" s="7" t="s">
        <v>177</v>
      </c>
      <c r="V19" s="7"/>
    </row>
    <row r="20" spans="1:24" ht="96">
      <c r="A20" s="6" t="s">
        <v>178</v>
      </c>
      <c r="B20" s="7">
        <v>1305557.8999999999</v>
      </c>
      <c r="C20" s="7">
        <v>5053628.3</v>
      </c>
      <c r="D20" s="7">
        <v>2215535</v>
      </c>
      <c r="E20" s="7">
        <v>5615330</v>
      </c>
      <c r="F20" s="7" t="s">
        <v>58</v>
      </c>
      <c r="G20" s="7">
        <v>48.2</v>
      </c>
      <c r="H20" s="8">
        <v>0.125</v>
      </c>
      <c r="I20" s="7">
        <v>-32.229999999999997</v>
      </c>
      <c r="J20" s="7"/>
      <c r="K20" s="7" t="s">
        <v>179</v>
      </c>
      <c r="L20" s="7" t="s">
        <v>180</v>
      </c>
      <c r="M20" s="7" t="s">
        <v>60</v>
      </c>
      <c r="N20" s="7"/>
      <c r="O20" s="7"/>
      <c r="P20" s="7"/>
      <c r="Q20" s="7" t="s">
        <v>181</v>
      </c>
      <c r="R20" s="7" t="s">
        <v>182</v>
      </c>
      <c r="S20" s="7" t="s">
        <v>183</v>
      </c>
      <c r="T20" s="7"/>
      <c r="U20" s="7" t="s">
        <v>184</v>
      </c>
      <c r="V20" s="4" t="s">
        <v>185</v>
      </c>
    </row>
    <row r="21" spans="1:24" ht="72">
      <c r="A21" s="6" t="s">
        <v>186</v>
      </c>
      <c r="B21" s="7">
        <v>1299976.2</v>
      </c>
      <c r="C21" s="7">
        <v>5047795.4000000004</v>
      </c>
      <c r="D21" s="7">
        <v>2209954</v>
      </c>
      <c r="E21" s="7">
        <v>5609505</v>
      </c>
      <c r="F21" s="7" t="s">
        <v>58</v>
      </c>
      <c r="G21" s="7">
        <v>31.9</v>
      </c>
      <c r="H21" s="8">
        <v>0.15</v>
      </c>
      <c r="I21" s="7">
        <v>-23.75</v>
      </c>
      <c r="J21" s="7"/>
      <c r="K21" s="7" t="s">
        <v>187</v>
      </c>
      <c r="L21" s="7" t="s">
        <v>188</v>
      </c>
      <c r="M21" s="7" t="s">
        <v>189</v>
      </c>
      <c r="N21" s="7"/>
      <c r="O21" s="7"/>
      <c r="P21" s="7"/>
      <c r="Q21" s="7"/>
      <c r="R21" s="7" t="s">
        <v>61</v>
      </c>
      <c r="S21" s="7" t="s">
        <v>190</v>
      </c>
      <c r="T21" s="7" t="s">
        <v>191</v>
      </c>
      <c r="U21" s="7" t="s">
        <v>192</v>
      </c>
      <c r="V21" s="7"/>
    </row>
    <row r="22" spans="1:24" ht="72">
      <c r="A22" s="6" t="s">
        <v>193</v>
      </c>
      <c r="B22" s="7">
        <v>1307526.8</v>
      </c>
      <c r="C22" s="7">
        <v>5049696.5999999996</v>
      </c>
      <c r="D22" s="7">
        <v>2217500</v>
      </c>
      <c r="E22" s="7">
        <v>5611400</v>
      </c>
      <c r="F22" s="7"/>
      <c r="G22" s="7">
        <v>45</v>
      </c>
      <c r="H22" s="8">
        <v>0.125</v>
      </c>
      <c r="I22" s="7"/>
      <c r="J22" s="7"/>
      <c r="K22" s="7" t="s">
        <v>194</v>
      </c>
      <c r="L22" s="7" t="s">
        <v>195</v>
      </c>
      <c r="M22" s="7" t="s">
        <v>60</v>
      </c>
      <c r="N22" s="7"/>
      <c r="O22" s="7"/>
      <c r="P22" s="7"/>
      <c r="Q22" s="7" t="s">
        <v>137</v>
      </c>
      <c r="R22" s="7" t="s">
        <v>196</v>
      </c>
      <c r="S22" s="7" t="s">
        <v>197</v>
      </c>
      <c r="T22" s="7" t="s">
        <v>198</v>
      </c>
      <c r="U22" s="7" t="s">
        <v>198</v>
      </c>
      <c r="V22" s="7"/>
    </row>
    <row r="23" spans="1:24" ht="71.25">
      <c r="A23" s="6" t="s">
        <v>199</v>
      </c>
      <c r="B23" s="7">
        <v>1306158.6000000001</v>
      </c>
      <c r="C23" s="7">
        <v>5053084.3</v>
      </c>
      <c r="D23" s="7">
        <v>2216135</v>
      </c>
      <c r="E23" s="7">
        <v>5614786</v>
      </c>
      <c r="F23" s="7" t="s">
        <v>58</v>
      </c>
      <c r="G23" s="7">
        <v>54</v>
      </c>
      <c r="H23" s="8">
        <v>0.75</v>
      </c>
      <c r="I23" s="7">
        <v>-28.6</v>
      </c>
      <c r="J23" s="7"/>
      <c r="K23" s="7" t="s">
        <v>200</v>
      </c>
      <c r="L23" s="7" t="s">
        <v>201</v>
      </c>
      <c r="M23" s="7" t="s">
        <v>71</v>
      </c>
      <c r="N23" s="7"/>
      <c r="O23" s="7"/>
      <c r="P23" s="7"/>
      <c r="Q23" s="7" t="s">
        <v>202</v>
      </c>
      <c r="R23" s="7" t="s">
        <v>61</v>
      </c>
      <c r="S23" s="7" t="s">
        <v>98</v>
      </c>
      <c r="T23" s="7"/>
      <c r="U23" s="7" t="s">
        <v>100</v>
      </c>
      <c r="V23" s="7"/>
    </row>
    <row r="24" spans="1:24" ht="36">
      <c r="A24" s="6" t="s">
        <v>25</v>
      </c>
      <c r="B24" s="7">
        <v>1302258.6000000001</v>
      </c>
      <c r="C24" s="7">
        <v>5051549.7</v>
      </c>
      <c r="D24" s="7">
        <v>2212237</v>
      </c>
      <c r="E24" s="7">
        <v>5613255</v>
      </c>
      <c r="F24" s="7" t="s">
        <v>58</v>
      </c>
      <c r="G24" s="7">
        <v>27.68</v>
      </c>
      <c r="H24" s="8">
        <v>0.15</v>
      </c>
      <c r="I24" s="7">
        <v>-21.56</v>
      </c>
      <c r="J24" s="7"/>
      <c r="K24" s="7" t="s">
        <v>203</v>
      </c>
      <c r="L24" s="7" t="s">
        <v>204</v>
      </c>
      <c r="M24" s="7" t="s">
        <v>60</v>
      </c>
      <c r="N24" s="7"/>
      <c r="O24" s="7"/>
      <c r="P24" s="7"/>
      <c r="Q24" s="7"/>
      <c r="R24" s="7" t="s">
        <v>61</v>
      </c>
      <c r="S24" s="7" t="s">
        <v>205</v>
      </c>
      <c r="T24" s="7" t="s">
        <v>206</v>
      </c>
      <c r="U24" s="7" t="s">
        <v>207</v>
      </c>
      <c r="V24" s="7"/>
    </row>
    <row r="25" spans="1:24" ht="60">
      <c r="A25" s="6" t="s">
        <v>208</v>
      </c>
      <c r="B25" s="7">
        <v>1301984.5</v>
      </c>
      <c r="C25" s="7">
        <v>5049851.3</v>
      </c>
      <c r="D25" s="7">
        <v>2211962</v>
      </c>
      <c r="E25" s="7">
        <v>5611558</v>
      </c>
      <c r="F25" s="7"/>
      <c r="G25" s="7">
        <v>17.05</v>
      </c>
      <c r="H25" s="8">
        <v>0.15</v>
      </c>
      <c r="I25" s="7">
        <v>-4.3</v>
      </c>
      <c r="J25" s="7"/>
      <c r="K25" s="7" t="s">
        <v>209</v>
      </c>
      <c r="L25" s="7" t="s">
        <v>210</v>
      </c>
      <c r="M25" s="7" t="s">
        <v>71</v>
      </c>
      <c r="N25" s="7" t="s">
        <v>96</v>
      </c>
      <c r="O25" s="7"/>
      <c r="P25" s="7"/>
      <c r="Q25" s="7" t="s">
        <v>137</v>
      </c>
      <c r="R25" s="7" t="s">
        <v>211</v>
      </c>
      <c r="S25" s="7" t="s">
        <v>212</v>
      </c>
      <c r="T25" s="7" t="s">
        <v>213</v>
      </c>
      <c r="U25" s="7" t="s">
        <v>214</v>
      </c>
      <c r="V25" s="7"/>
    </row>
    <row r="26" spans="1:24" ht="72">
      <c r="A26" s="6" t="s">
        <v>215</v>
      </c>
      <c r="B26" s="7">
        <v>1306726.7</v>
      </c>
      <c r="C26" s="7">
        <v>5048895.5</v>
      </c>
      <c r="D26" s="7">
        <v>2216700</v>
      </c>
      <c r="E26" s="7">
        <v>5610600</v>
      </c>
      <c r="F26" s="7"/>
      <c r="G26" s="7">
        <v>32</v>
      </c>
      <c r="H26" s="8">
        <v>0.125</v>
      </c>
      <c r="I26" s="7"/>
      <c r="J26" s="7"/>
      <c r="K26" s="7" t="s">
        <v>216</v>
      </c>
      <c r="L26" s="7" t="s">
        <v>217</v>
      </c>
      <c r="M26" s="7" t="s">
        <v>60</v>
      </c>
      <c r="N26" s="7"/>
      <c r="O26" s="7"/>
      <c r="P26" s="7"/>
      <c r="Q26" s="7"/>
      <c r="R26" s="7" t="s">
        <v>61</v>
      </c>
      <c r="S26" s="7" t="s">
        <v>218</v>
      </c>
      <c r="T26" s="7"/>
      <c r="U26" s="7" t="s">
        <v>219</v>
      </c>
      <c r="V26" s="7"/>
    </row>
    <row r="27" spans="1:24" ht="60">
      <c r="A27" s="6" t="s">
        <v>9</v>
      </c>
      <c r="B27" s="7">
        <v>1302511.3</v>
      </c>
      <c r="C27" s="7">
        <v>5047564.8</v>
      </c>
      <c r="D27" s="7">
        <v>2212487</v>
      </c>
      <c r="E27" s="7">
        <v>5609273</v>
      </c>
      <c r="F27" s="7" t="s">
        <v>58</v>
      </c>
      <c r="G27" s="7">
        <v>45</v>
      </c>
      <c r="H27" s="8">
        <v>0.18</v>
      </c>
      <c r="I27" s="7"/>
      <c r="J27" s="7"/>
      <c r="K27" s="7" t="s">
        <v>109</v>
      </c>
      <c r="L27" s="7" t="s">
        <v>110</v>
      </c>
      <c r="M27" s="7" t="s">
        <v>96</v>
      </c>
      <c r="N27" s="7"/>
      <c r="O27" s="7"/>
      <c r="P27" s="7"/>
      <c r="Q27" s="7" t="s">
        <v>220</v>
      </c>
      <c r="R27" s="7" t="s">
        <v>221</v>
      </c>
      <c r="S27" s="7" t="s">
        <v>113</v>
      </c>
      <c r="T27" s="7"/>
      <c r="U27" s="7" t="s">
        <v>115</v>
      </c>
      <c r="V27" s="7"/>
    </row>
    <row r="28" spans="1:24" ht="168">
      <c r="A28" s="6" t="s">
        <v>35</v>
      </c>
      <c r="B28" s="7">
        <v>1303682.7</v>
      </c>
      <c r="C28" s="7">
        <v>5051520.5999999996</v>
      </c>
      <c r="D28" s="7">
        <v>2213660</v>
      </c>
      <c r="E28" s="7">
        <v>5613225</v>
      </c>
      <c r="F28" s="7"/>
      <c r="G28" s="7">
        <v>20</v>
      </c>
      <c r="H28" s="8">
        <v>0.1</v>
      </c>
      <c r="I28" s="7"/>
      <c r="J28" s="7"/>
      <c r="K28" s="7" t="s">
        <v>222</v>
      </c>
      <c r="L28" s="7" t="s">
        <v>223</v>
      </c>
      <c r="M28" s="7" t="s">
        <v>60</v>
      </c>
      <c r="N28" s="7" t="s">
        <v>96</v>
      </c>
      <c r="O28" s="7"/>
      <c r="P28" s="7"/>
      <c r="Q28" s="7" t="s">
        <v>224</v>
      </c>
      <c r="R28" s="7" t="s">
        <v>225</v>
      </c>
      <c r="S28" s="7" t="s">
        <v>226</v>
      </c>
      <c r="T28" s="7" t="s">
        <v>227</v>
      </c>
      <c r="U28" s="7"/>
      <c r="V28" s="7"/>
    </row>
    <row r="29" spans="1:24" ht="108">
      <c r="A29" s="6" t="s">
        <v>228</v>
      </c>
      <c r="B29" s="7">
        <v>1300336.8</v>
      </c>
      <c r="C29" s="7">
        <v>5047269.2</v>
      </c>
      <c r="D29" s="7">
        <v>2210314</v>
      </c>
      <c r="E29" s="7">
        <v>5608979</v>
      </c>
      <c r="F29" s="7" t="s">
        <v>58</v>
      </c>
      <c r="G29" s="7">
        <v>34.94</v>
      </c>
      <c r="H29" s="8">
        <v>0.15</v>
      </c>
      <c r="I29" s="7">
        <v>-21.53</v>
      </c>
      <c r="J29" s="7"/>
      <c r="K29" s="7" t="s">
        <v>229</v>
      </c>
      <c r="L29" s="7" t="s">
        <v>230</v>
      </c>
      <c r="M29" s="7"/>
      <c r="N29" s="7"/>
      <c r="O29" s="7"/>
      <c r="P29" s="7"/>
      <c r="Q29" s="7" t="s">
        <v>231</v>
      </c>
      <c r="R29" s="7" t="s">
        <v>232</v>
      </c>
      <c r="S29" s="10" t="s">
        <v>233</v>
      </c>
      <c r="T29" s="7" t="s">
        <v>234</v>
      </c>
      <c r="U29" s="7" t="s">
        <v>235</v>
      </c>
      <c r="V29" s="7"/>
    </row>
    <row r="30" spans="1:24" ht="84">
      <c r="A30" s="6" t="s">
        <v>16</v>
      </c>
      <c r="B30" s="7">
        <v>1303566.3</v>
      </c>
      <c r="C30" s="7">
        <v>5048821.5</v>
      </c>
      <c r="D30" s="7">
        <v>2213542</v>
      </c>
      <c r="E30" s="7">
        <v>5610528</v>
      </c>
      <c r="F30" s="7" t="s">
        <v>58</v>
      </c>
      <c r="G30" s="7">
        <v>17.7</v>
      </c>
      <c r="H30" s="8">
        <v>0.125</v>
      </c>
      <c r="I30" s="7">
        <v>-8.5</v>
      </c>
      <c r="J30" s="7"/>
      <c r="K30" s="7" t="s">
        <v>27</v>
      </c>
      <c r="L30" s="7" t="s">
        <v>236</v>
      </c>
      <c r="M30" s="7" t="s">
        <v>60</v>
      </c>
      <c r="N30" s="7"/>
      <c r="O30" s="7"/>
      <c r="P30" s="7"/>
      <c r="Q30" s="7" t="s">
        <v>137</v>
      </c>
      <c r="R30" s="7" t="s">
        <v>237</v>
      </c>
      <c r="S30" s="7" t="s">
        <v>238</v>
      </c>
      <c r="T30" s="7" t="s">
        <v>239</v>
      </c>
      <c r="U30" s="7" t="s">
        <v>240</v>
      </c>
      <c r="V30" s="4" t="s">
        <v>241</v>
      </c>
    </row>
    <row r="31" spans="1:24" ht="60">
      <c r="A31" s="6" t="s">
        <v>242</v>
      </c>
      <c r="B31" s="7">
        <v>1305512.7</v>
      </c>
      <c r="C31" s="7">
        <v>5048998.8</v>
      </c>
      <c r="D31" s="7">
        <v>2215487</v>
      </c>
      <c r="E31" s="7">
        <v>5610704</v>
      </c>
      <c r="F31" s="7" t="s">
        <v>58</v>
      </c>
      <c r="G31" s="7">
        <v>20.37</v>
      </c>
      <c r="H31" s="7">
        <v>0.125</v>
      </c>
      <c r="I31" s="7">
        <v>-11.92</v>
      </c>
      <c r="J31" s="7">
        <v>339</v>
      </c>
      <c r="K31" s="7" t="s">
        <v>243</v>
      </c>
      <c r="L31" s="7" t="s">
        <v>244</v>
      </c>
      <c r="M31" s="7" t="s">
        <v>60</v>
      </c>
      <c r="N31" s="7"/>
      <c r="O31" s="7"/>
      <c r="P31" s="7"/>
      <c r="Q31" s="7"/>
      <c r="R31" s="7" t="s">
        <v>61</v>
      </c>
      <c r="S31" s="7" t="s">
        <v>245</v>
      </c>
      <c r="T31" s="7" t="s">
        <v>246</v>
      </c>
      <c r="U31" s="7" t="s">
        <v>247</v>
      </c>
      <c r="V31" s="7"/>
    </row>
    <row r="32" spans="1:24">
      <c r="A32" s="6"/>
      <c r="B32" s="7"/>
      <c r="C32" s="7"/>
      <c r="D32" s="7"/>
      <c r="E32" s="7"/>
      <c r="F32" s="7"/>
      <c r="G32" s="7"/>
      <c r="H32" s="7"/>
      <c r="I32" s="8"/>
      <c r="J32" s="7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6"/>
      <c r="X32" s="16"/>
    </row>
    <row r="33" spans="1:24" ht="132">
      <c r="A33" s="6"/>
      <c r="B33" s="7"/>
      <c r="C33" s="7"/>
      <c r="D33" s="7">
        <v>2215355</v>
      </c>
      <c r="E33" s="7">
        <v>5609330</v>
      </c>
      <c r="F33" s="7"/>
      <c r="G33" s="7"/>
      <c r="H33" s="8"/>
      <c r="I33" s="7">
        <v>-11.595000000000001</v>
      </c>
      <c r="J33" s="7"/>
      <c r="K33" s="7"/>
      <c r="L33" s="7" t="s">
        <v>276</v>
      </c>
      <c r="M33" s="7"/>
      <c r="N33" s="7"/>
      <c r="O33" s="7"/>
      <c r="P33" s="7"/>
      <c r="Q33" s="7" t="s">
        <v>277</v>
      </c>
      <c r="R33" s="7"/>
      <c r="S33" s="7"/>
      <c r="T33" s="7"/>
      <c r="U33" s="7"/>
      <c r="V33" s="4" t="s">
        <v>278</v>
      </c>
      <c r="W33" s="16"/>
      <c r="X33" s="16"/>
    </row>
    <row r="34" spans="1:24" ht="108">
      <c r="A34" s="6"/>
      <c r="B34" s="7"/>
      <c r="C34" s="7"/>
      <c r="D34" s="7">
        <v>2214918</v>
      </c>
      <c r="E34" s="7">
        <v>5609402</v>
      </c>
      <c r="F34" s="7"/>
      <c r="G34" s="7"/>
      <c r="H34" s="8"/>
      <c r="I34" s="7">
        <v>-10.92</v>
      </c>
      <c r="J34" s="7"/>
      <c r="K34" s="7"/>
      <c r="L34" s="7" t="s">
        <v>279</v>
      </c>
      <c r="M34" s="7"/>
      <c r="N34" s="7"/>
      <c r="O34" s="7"/>
      <c r="P34" s="7"/>
      <c r="Q34" s="7" t="s">
        <v>280</v>
      </c>
      <c r="R34" s="7"/>
      <c r="S34" s="7"/>
      <c r="T34" s="7"/>
      <c r="U34" s="7"/>
      <c r="V34" s="4" t="s">
        <v>281</v>
      </c>
      <c r="W34" s="16"/>
      <c r="X34" s="16"/>
    </row>
    <row r="35" spans="1:24">
      <c r="A35" s="6"/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6"/>
      <c r="X35" s="16"/>
    </row>
    <row r="36" spans="1:24" ht="156">
      <c r="A36" s="6"/>
      <c r="B36" s="7"/>
      <c r="C36" s="7"/>
      <c r="D36" s="7">
        <v>2211162</v>
      </c>
      <c r="E36" s="7">
        <v>5606054</v>
      </c>
      <c r="F36" s="7"/>
      <c r="G36" s="7"/>
      <c r="H36" s="8"/>
      <c r="I36" s="7"/>
      <c r="J36" s="7"/>
      <c r="K36" s="7" t="s">
        <v>282</v>
      </c>
      <c r="L36" s="7" t="s">
        <v>283</v>
      </c>
      <c r="M36" s="7"/>
      <c r="N36" s="7"/>
      <c r="O36" s="7"/>
      <c r="P36" s="7"/>
      <c r="Q36" s="7" t="s">
        <v>284</v>
      </c>
      <c r="R36" s="7"/>
      <c r="S36" s="7"/>
      <c r="T36" s="7"/>
      <c r="U36" s="7"/>
      <c r="V36" s="4" t="s">
        <v>285</v>
      </c>
      <c r="W36" s="16"/>
      <c r="X36" s="16"/>
    </row>
    <row r="37" spans="1:24" ht="108">
      <c r="A37" s="6"/>
      <c r="B37" s="7"/>
      <c r="C37" s="7"/>
      <c r="D37" s="7">
        <v>2211164</v>
      </c>
      <c r="E37" s="7">
        <v>5605947</v>
      </c>
      <c r="F37" s="7"/>
      <c r="G37" s="7"/>
      <c r="H37" s="8"/>
      <c r="I37" s="7"/>
      <c r="J37" s="7"/>
      <c r="K37" s="7" t="s">
        <v>119</v>
      </c>
      <c r="L37" s="7" t="s">
        <v>286</v>
      </c>
      <c r="M37" s="7"/>
      <c r="N37" s="7"/>
      <c r="O37" s="7"/>
      <c r="P37" s="7"/>
      <c r="Q37" s="7" t="s">
        <v>119</v>
      </c>
      <c r="R37" s="7"/>
      <c r="S37" s="7"/>
      <c r="T37" s="7"/>
      <c r="U37" s="7"/>
      <c r="V37" s="4" t="s">
        <v>287</v>
      </c>
      <c r="W37" s="7"/>
      <c r="X37" s="7"/>
    </row>
    <row r="38" spans="1:24">
      <c r="A38" s="6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48">
      <c r="A39" s="6"/>
      <c r="B39" s="7"/>
      <c r="C39" s="7"/>
      <c r="D39" s="7">
        <v>2215949</v>
      </c>
      <c r="E39" s="7">
        <v>5612432</v>
      </c>
      <c r="F39" s="7"/>
      <c r="G39" s="7"/>
      <c r="H39" s="8"/>
      <c r="I39" s="7"/>
      <c r="J39" s="7"/>
      <c r="K39" s="7" t="s">
        <v>288</v>
      </c>
      <c r="L39" s="7" t="s">
        <v>289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60">
      <c r="A40" s="6" t="s">
        <v>290</v>
      </c>
      <c r="B40" s="7"/>
      <c r="C40" s="7"/>
      <c r="D40" s="7">
        <v>2217981</v>
      </c>
      <c r="E40" s="7">
        <v>5614896</v>
      </c>
      <c r="F40" s="7"/>
      <c r="G40" s="7"/>
      <c r="H40" s="8"/>
      <c r="I40" s="7"/>
      <c r="J40" s="7"/>
      <c r="K40" s="7" t="s">
        <v>291</v>
      </c>
      <c r="L40" s="7" t="s">
        <v>292</v>
      </c>
      <c r="M40" s="7"/>
      <c r="N40" s="7"/>
      <c r="O40" s="7"/>
      <c r="P40" s="7"/>
      <c r="Q40" s="7"/>
      <c r="R40" s="7"/>
      <c r="S40" s="7"/>
      <c r="T40" s="7"/>
      <c r="U40" s="7"/>
      <c r="V40" s="4" t="s">
        <v>293</v>
      </c>
      <c r="W40" s="7"/>
      <c r="X40" s="7"/>
    </row>
    <row r="41" spans="1:24" ht="36">
      <c r="A41" s="17"/>
      <c r="B41" s="18"/>
      <c r="C41" s="18"/>
      <c r="D41" s="18">
        <v>2218268</v>
      </c>
      <c r="E41" s="18">
        <v>5614873</v>
      </c>
      <c r="F41" s="18"/>
      <c r="G41" s="18"/>
      <c r="H41" s="19"/>
      <c r="I41" s="18"/>
      <c r="J41" s="18"/>
      <c r="K41" s="7" t="s">
        <v>294</v>
      </c>
      <c r="L41" s="7" t="s">
        <v>295</v>
      </c>
      <c r="M41" s="18"/>
      <c r="N41" s="18"/>
      <c r="O41" s="18"/>
      <c r="P41" s="20"/>
      <c r="Q41" s="7" t="s">
        <v>296</v>
      </c>
      <c r="R41" s="18"/>
      <c r="S41" s="20" t="s">
        <v>297</v>
      </c>
      <c r="T41" s="20"/>
      <c r="U41" s="20"/>
      <c r="V41" s="21" t="s">
        <v>298</v>
      </c>
      <c r="W41" s="20"/>
      <c r="X41" s="20"/>
    </row>
    <row r="42" spans="1:24" ht="72">
      <c r="A42" s="17"/>
      <c r="B42" s="18"/>
      <c r="C42" s="18"/>
      <c r="D42" s="18"/>
      <c r="E42" s="18"/>
      <c r="F42" s="18"/>
      <c r="G42" s="18"/>
      <c r="H42" s="19"/>
      <c r="I42" s="18"/>
      <c r="J42" s="18"/>
      <c r="K42" s="20"/>
      <c r="L42" s="20"/>
      <c r="M42" s="18"/>
      <c r="N42" s="18"/>
      <c r="O42" s="18"/>
      <c r="P42" s="20"/>
      <c r="Q42" s="7"/>
      <c r="R42" s="18"/>
      <c r="S42" s="7" t="s">
        <v>299</v>
      </c>
      <c r="T42" s="20"/>
      <c r="U42" s="20"/>
      <c r="V42" s="21" t="s">
        <v>300</v>
      </c>
      <c r="W42" s="20"/>
      <c r="X42" s="20"/>
    </row>
    <row r="43" spans="1:24" ht="108">
      <c r="A43" s="17"/>
      <c r="B43" s="18"/>
      <c r="C43" s="18"/>
      <c r="D43" s="18">
        <v>2216113</v>
      </c>
      <c r="E43" s="18">
        <v>5613451</v>
      </c>
      <c r="F43" s="18"/>
      <c r="G43" s="18"/>
      <c r="H43" s="19"/>
      <c r="I43" s="18"/>
      <c r="J43" s="18"/>
      <c r="K43" s="7" t="s">
        <v>301</v>
      </c>
      <c r="L43" s="7" t="s">
        <v>302</v>
      </c>
      <c r="M43" s="18"/>
      <c r="N43" s="18"/>
      <c r="O43" s="18"/>
      <c r="P43" s="20"/>
      <c r="Q43" s="7"/>
      <c r="R43" s="18" t="s">
        <v>303</v>
      </c>
      <c r="S43" s="20"/>
      <c r="T43" s="20"/>
      <c r="U43" s="20"/>
      <c r="V43" s="21" t="s">
        <v>304</v>
      </c>
      <c r="W43" s="20"/>
      <c r="X43" s="20"/>
    </row>
    <row r="44" spans="1:24">
      <c r="A44" s="11"/>
      <c r="B44" s="1"/>
      <c r="C44" s="1"/>
      <c r="D44" s="1"/>
      <c r="E44" s="1"/>
      <c r="F44" s="1"/>
      <c r="G44" s="1"/>
      <c r="H44" s="15"/>
      <c r="I44" s="1"/>
      <c r="J44" s="1"/>
      <c r="M44" s="1"/>
      <c r="N44" s="1"/>
      <c r="O44" s="1"/>
      <c r="Q44" s="16"/>
      <c r="R4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1" topLeftCell="A2" activePane="bottomLeft" state="frozen"/>
      <selection pane="bottomLeft" sqref="A1:H57"/>
    </sheetView>
  </sheetViews>
  <sheetFormatPr defaultRowHeight="15"/>
  <cols>
    <col min="1" max="1" width="15.140625" customWidth="1"/>
    <col min="2" max="2" width="10.5703125" style="12" customWidth="1"/>
    <col min="3" max="3" width="11.7109375" style="12" customWidth="1"/>
    <col min="4" max="4" width="12.85546875" style="32" customWidth="1"/>
    <col min="5" max="6" width="8.42578125" style="32" customWidth="1"/>
    <col min="7" max="8" width="11" style="32" customWidth="1"/>
  </cols>
  <sheetData>
    <row r="1" spans="1:8">
      <c r="A1" s="35" t="s">
        <v>423</v>
      </c>
      <c r="B1" s="36" t="s">
        <v>421</v>
      </c>
      <c r="C1" s="36" t="s">
        <v>422</v>
      </c>
      <c r="D1" s="37" t="s">
        <v>420</v>
      </c>
      <c r="E1" s="37" t="s">
        <v>419</v>
      </c>
      <c r="F1" s="37" t="s">
        <v>424</v>
      </c>
      <c r="G1" s="37" t="s">
        <v>417</v>
      </c>
      <c r="H1" s="38" t="s">
        <v>418</v>
      </c>
    </row>
    <row r="2" spans="1:8">
      <c r="A2" s="26" t="s">
        <v>17</v>
      </c>
      <c r="B2" s="27">
        <v>1305974</v>
      </c>
      <c r="C2" s="27">
        <v>5050720.4000000004</v>
      </c>
      <c r="D2" s="30">
        <v>14.31</v>
      </c>
      <c r="E2" s="30">
        <v>0.15</v>
      </c>
      <c r="F2" s="30">
        <f>G2+H2</f>
        <v>340.52699999999999</v>
      </c>
      <c r="G2" s="30">
        <v>14.16</v>
      </c>
      <c r="H2" s="33">
        <v>326.36699999999996</v>
      </c>
    </row>
    <row r="3" spans="1:8">
      <c r="A3" s="26" t="s">
        <v>274</v>
      </c>
      <c r="B3" s="27">
        <v>1298878.54</v>
      </c>
      <c r="C3" s="27">
        <v>5044812</v>
      </c>
      <c r="D3" s="30">
        <v>0</v>
      </c>
      <c r="E3" s="30">
        <v>0</v>
      </c>
      <c r="F3" s="30">
        <f t="shared" ref="F3:F57" si="0">G3+H3</f>
        <v>542.73400000000004</v>
      </c>
      <c r="G3" s="30">
        <v>271.36700000000002</v>
      </c>
      <c r="H3" s="33">
        <v>271.36700000000002</v>
      </c>
    </row>
    <row r="4" spans="1:8">
      <c r="A4" s="26" t="s">
        <v>415</v>
      </c>
      <c r="B4" s="27">
        <v>1304394.8</v>
      </c>
      <c r="C4" s="27">
        <v>5046062.9000000004</v>
      </c>
      <c r="D4" s="30">
        <v>96.5</v>
      </c>
      <c r="E4" s="30">
        <v>0.33</v>
      </c>
      <c r="F4" s="30">
        <f t="shared" si="0"/>
        <v>390.26900000000001</v>
      </c>
      <c r="G4" s="30">
        <v>96.17</v>
      </c>
      <c r="H4" s="33">
        <v>294.09899999999999</v>
      </c>
    </row>
    <row r="5" spans="1:8">
      <c r="A5" s="26" t="s">
        <v>416</v>
      </c>
      <c r="B5" s="27">
        <v>1302409.5</v>
      </c>
      <c r="C5" s="27">
        <v>5047236.5</v>
      </c>
      <c r="D5" s="30">
        <v>16.79</v>
      </c>
      <c r="E5" s="30">
        <v>0.2</v>
      </c>
      <c r="F5" s="30">
        <f t="shared" si="0"/>
        <v>317.00900000000001</v>
      </c>
      <c r="G5" s="30">
        <v>16.59</v>
      </c>
      <c r="H5" s="33">
        <v>300.41900000000004</v>
      </c>
    </row>
    <row r="6" spans="1:8">
      <c r="A6" s="26" t="s">
        <v>414</v>
      </c>
      <c r="B6" s="27">
        <v>1302315.2</v>
      </c>
      <c r="C6" s="27">
        <v>5045980.5</v>
      </c>
      <c r="D6" s="30">
        <v>76.13</v>
      </c>
      <c r="E6" s="30">
        <v>0.35</v>
      </c>
      <c r="F6" s="30">
        <f t="shared" si="0"/>
        <v>374.12400000000002</v>
      </c>
      <c r="G6" s="30">
        <v>75.78</v>
      </c>
      <c r="H6" s="33">
        <v>298.34400000000005</v>
      </c>
    </row>
    <row r="7" spans="1:8">
      <c r="A7" s="26" t="s">
        <v>413</v>
      </c>
      <c r="B7" s="27">
        <v>1300366.8</v>
      </c>
      <c r="C7" s="27">
        <v>5045734</v>
      </c>
      <c r="D7" s="30">
        <v>21.68</v>
      </c>
      <c r="E7" s="30">
        <v>0</v>
      </c>
      <c r="F7" s="30">
        <f t="shared" si="0"/>
        <v>313.8</v>
      </c>
      <c r="G7" s="30">
        <v>21.68</v>
      </c>
      <c r="H7" s="33">
        <v>292.12</v>
      </c>
    </row>
    <row r="8" spans="1:8">
      <c r="A8" s="26" t="s">
        <v>36</v>
      </c>
      <c r="B8" s="27">
        <v>1304104.3</v>
      </c>
      <c r="C8" s="27">
        <v>5052674.7</v>
      </c>
      <c r="D8" s="30">
        <v>21.02</v>
      </c>
      <c r="E8" s="30">
        <v>0.3</v>
      </c>
      <c r="F8" s="30">
        <f t="shared" si="0"/>
        <v>347.01300000000003</v>
      </c>
      <c r="G8" s="30">
        <v>20.72</v>
      </c>
      <c r="H8" s="33">
        <v>326.29300000000001</v>
      </c>
    </row>
    <row r="9" spans="1:8">
      <c r="A9" s="26" t="s">
        <v>37</v>
      </c>
      <c r="B9" s="27">
        <v>1306434</v>
      </c>
      <c r="C9" s="27">
        <v>5052765.2</v>
      </c>
      <c r="D9" s="30">
        <v>35.96</v>
      </c>
      <c r="E9" s="30">
        <v>0.3</v>
      </c>
      <c r="F9" s="30">
        <f t="shared" si="0"/>
        <v>365.11799999999999</v>
      </c>
      <c r="G9" s="30">
        <v>35.660000000000004</v>
      </c>
      <c r="H9" s="33">
        <v>329.45799999999997</v>
      </c>
    </row>
    <row r="10" spans="1:8">
      <c r="A10" s="26" t="s">
        <v>57</v>
      </c>
      <c r="B10" s="27">
        <v>1300221.8999999999</v>
      </c>
      <c r="C10" s="27">
        <v>5048491.0999999996</v>
      </c>
      <c r="D10" s="30">
        <v>-22.2</v>
      </c>
      <c r="E10" s="30">
        <v>0</v>
      </c>
      <c r="F10" s="30">
        <f t="shared" si="0"/>
        <v>300.17</v>
      </c>
      <c r="G10" s="30">
        <v>0</v>
      </c>
      <c r="H10" s="33">
        <v>300.17</v>
      </c>
    </row>
    <row r="11" spans="1:8">
      <c r="A11" s="26" t="s">
        <v>13</v>
      </c>
      <c r="B11" s="27">
        <v>1305531.3</v>
      </c>
      <c r="C11" s="27">
        <v>5040688.5</v>
      </c>
      <c r="D11" s="30">
        <v>20.69</v>
      </c>
      <c r="E11" s="30">
        <v>-0.66</v>
      </c>
      <c r="F11" s="30">
        <f t="shared" si="0"/>
        <v>274.87299999999999</v>
      </c>
      <c r="G11" s="30">
        <v>21.35</v>
      </c>
      <c r="H11" s="33">
        <v>253.523</v>
      </c>
    </row>
    <row r="12" spans="1:8">
      <c r="A12" s="26" t="s">
        <v>290</v>
      </c>
      <c r="B12" s="27">
        <v>1308005.8999999999</v>
      </c>
      <c r="C12" s="27">
        <v>5053195.5</v>
      </c>
      <c r="D12" s="30">
        <v>21.08</v>
      </c>
      <c r="E12" s="30">
        <v>0.1</v>
      </c>
      <c r="F12" s="30">
        <f t="shared" si="0"/>
        <v>420.55200000000002</v>
      </c>
      <c r="G12" s="30">
        <v>20.979999999999997</v>
      </c>
      <c r="H12" s="33">
        <v>399.572</v>
      </c>
    </row>
    <row r="13" spans="1:8">
      <c r="A13" s="26" t="s">
        <v>78</v>
      </c>
      <c r="B13" s="27">
        <v>1305624.8999999999</v>
      </c>
      <c r="C13" s="27">
        <v>5050395.9000000004</v>
      </c>
      <c r="D13" s="30">
        <v>10.994999999999999</v>
      </c>
      <c r="E13" s="30">
        <v>-0.48</v>
      </c>
      <c r="F13" s="30">
        <f t="shared" si="0"/>
        <v>336.327</v>
      </c>
      <c r="G13" s="30">
        <v>11.475</v>
      </c>
      <c r="H13" s="33">
        <v>324.85199999999998</v>
      </c>
    </row>
    <row r="14" spans="1:8">
      <c r="A14" s="26" t="s">
        <v>101</v>
      </c>
      <c r="B14" s="27">
        <v>1307625.8</v>
      </c>
      <c r="C14" s="27">
        <v>5051297.8</v>
      </c>
      <c r="D14" s="30">
        <v>47.18</v>
      </c>
      <c r="E14" s="30">
        <v>0</v>
      </c>
      <c r="F14" s="30">
        <f t="shared" si="0"/>
        <v>355.54</v>
      </c>
      <c r="G14" s="30">
        <v>0</v>
      </c>
      <c r="H14" s="33">
        <v>355.54</v>
      </c>
    </row>
    <row r="15" spans="1:8">
      <c r="A15" s="26" t="s">
        <v>11</v>
      </c>
      <c r="B15" s="27">
        <v>1302759.6000000001</v>
      </c>
      <c r="C15" s="27">
        <v>5052244.5999999996</v>
      </c>
      <c r="D15" s="30">
        <v>15.36</v>
      </c>
      <c r="E15" s="30">
        <v>0.35</v>
      </c>
      <c r="F15" s="30">
        <f t="shared" si="0"/>
        <v>337.12099999999998</v>
      </c>
      <c r="G15" s="30">
        <v>15.01</v>
      </c>
      <c r="H15" s="33">
        <v>322.11099999999999</v>
      </c>
    </row>
    <row r="16" spans="1:8">
      <c r="A16" s="26" t="s">
        <v>399</v>
      </c>
      <c r="B16" s="27">
        <v>1300686.3999999999</v>
      </c>
      <c r="C16" s="27">
        <v>5049881.5</v>
      </c>
      <c r="D16" s="30">
        <v>40.25</v>
      </c>
      <c r="E16" s="30">
        <v>0</v>
      </c>
      <c r="F16" s="30">
        <f t="shared" si="0"/>
        <v>348.01</v>
      </c>
      <c r="G16" s="30">
        <v>0</v>
      </c>
      <c r="H16" s="33">
        <v>348.01</v>
      </c>
    </row>
    <row r="17" spans="1:8">
      <c r="A17" s="26" t="s">
        <v>400</v>
      </c>
      <c r="B17" s="27">
        <v>1301234.7</v>
      </c>
      <c r="C17" s="27">
        <v>5050113</v>
      </c>
      <c r="D17" s="30">
        <v>39.86</v>
      </c>
      <c r="E17" s="30">
        <v>0</v>
      </c>
      <c r="F17" s="30">
        <f t="shared" si="0"/>
        <v>346.86</v>
      </c>
      <c r="G17" s="30">
        <v>0</v>
      </c>
      <c r="H17" s="33">
        <v>346.86</v>
      </c>
    </row>
    <row r="18" spans="1:8">
      <c r="A18" s="26" t="s">
        <v>108</v>
      </c>
      <c r="B18" s="27">
        <v>1305493.5</v>
      </c>
      <c r="C18" s="27">
        <v>5046167.7</v>
      </c>
      <c r="D18" s="30">
        <v>93.35</v>
      </c>
      <c r="E18" s="30">
        <v>0</v>
      </c>
      <c r="F18" s="30">
        <f t="shared" si="0"/>
        <v>300.17999999999995</v>
      </c>
      <c r="G18" s="30">
        <v>0</v>
      </c>
      <c r="H18" s="33">
        <v>300.17999999999995</v>
      </c>
    </row>
    <row r="19" spans="1:8">
      <c r="A19" s="26" t="s">
        <v>116</v>
      </c>
      <c r="B19" s="27">
        <v>1301187.3999999999</v>
      </c>
      <c r="C19" s="27">
        <v>5044342.4000000004</v>
      </c>
      <c r="D19" s="30">
        <v>5.86</v>
      </c>
      <c r="E19" s="30">
        <v>0.95</v>
      </c>
      <c r="F19" s="30">
        <f t="shared" si="0"/>
        <v>297.08499999999998</v>
      </c>
      <c r="G19" s="30">
        <v>4.91</v>
      </c>
      <c r="H19" s="33">
        <v>292.17499999999995</v>
      </c>
    </row>
    <row r="20" spans="1:8">
      <c r="A20" s="26" t="s">
        <v>305</v>
      </c>
      <c r="B20" s="27">
        <v>1301189.5</v>
      </c>
      <c r="C20" s="27">
        <v>5044235.4000000004</v>
      </c>
      <c r="D20" s="30">
        <v>7</v>
      </c>
      <c r="E20" s="30">
        <v>0.88</v>
      </c>
      <c r="F20" s="30">
        <f t="shared" si="0"/>
        <v>294.238</v>
      </c>
      <c r="G20" s="30">
        <v>6.12</v>
      </c>
      <c r="H20" s="33">
        <v>288.11799999999999</v>
      </c>
    </row>
    <row r="21" spans="1:8">
      <c r="A21" s="26" t="s">
        <v>125</v>
      </c>
      <c r="B21" s="27">
        <v>1304406.8999999999</v>
      </c>
      <c r="C21" s="27">
        <v>5048925.0999999996</v>
      </c>
      <c r="D21" s="30">
        <v>8.33</v>
      </c>
      <c r="E21" s="30">
        <v>-0.52</v>
      </c>
      <c r="F21" s="30">
        <f t="shared" si="0"/>
        <v>330.02800000000002</v>
      </c>
      <c r="G21" s="30">
        <v>8.85</v>
      </c>
      <c r="H21" s="33">
        <v>321.178</v>
      </c>
    </row>
    <row r="22" spans="1:8">
      <c r="A22" s="26" t="s">
        <v>134</v>
      </c>
      <c r="B22" s="27">
        <v>1306011.5</v>
      </c>
      <c r="C22" s="27">
        <v>5051491</v>
      </c>
      <c r="D22" s="30">
        <v>18.475000000000001</v>
      </c>
      <c r="E22" s="30">
        <v>-0.63</v>
      </c>
      <c r="F22" s="30">
        <f t="shared" si="0"/>
        <v>347.10599999999999</v>
      </c>
      <c r="G22" s="30">
        <v>19.105</v>
      </c>
      <c r="H22" s="33">
        <v>328.00099999999998</v>
      </c>
    </row>
    <row r="23" spans="1:8">
      <c r="A23" s="26" t="s">
        <v>34</v>
      </c>
      <c r="B23" s="27">
        <v>1302236.8</v>
      </c>
      <c r="C23" s="27">
        <v>5048025</v>
      </c>
      <c r="D23" s="30">
        <v>12.86</v>
      </c>
      <c r="E23" s="30">
        <v>0</v>
      </c>
      <c r="F23" s="30">
        <f t="shared" si="0"/>
        <v>319.01600000000002</v>
      </c>
      <c r="G23" s="30">
        <v>12.86</v>
      </c>
      <c r="H23" s="33">
        <v>306.15600000000001</v>
      </c>
    </row>
    <row r="24" spans="1:8">
      <c r="A24" s="26" t="s">
        <v>401</v>
      </c>
      <c r="B24" s="27">
        <v>1301110.8999999999</v>
      </c>
      <c r="C24" s="27">
        <v>5051217.8</v>
      </c>
      <c r="D24" s="30">
        <v>51.45</v>
      </c>
      <c r="E24" s="30">
        <v>0</v>
      </c>
      <c r="F24" s="30">
        <f t="shared" si="0"/>
        <v>350.11</v>
      </c>
      <c r="G24" s="30">
        <v>0</v>
      </c>
      <c r="H24" s="33">
        <v>350.11</v>
      </c>
    </row>
    <row r="25" spans="1:8">
      <c r="A25" s="26" t="s">
        <v>163</v>
      </c>
      <c r="B25" s="27">
        <v>1303476</v>
      </c>
      <c r="C25" s="27">
        <v>5047621.5</v>
      </c>
      <c r="D25" s="30">
        <v>41.64</v>
      </c>
      <c r="E25" s="30">
        <v>0</v>
      </c>
      <c r="F25" s="30">
        <f t="shared" si="0"/>
        <v>339.87400000000002</v>
      </c>
      <c r="G25" s="30">
        <v>41.64</v>
      </c>
      <c r="H25" s="33">
        <v>298.23400000000004</v>
      </c>
    </row>
    <row r="26" spans="1:8">
      <c r="A26" s="26" t="s">
        <v>264</v>
      </c>
      <c r="B26" s="27">
        <v>1302469.6000000001</v>
      </c>
      <c r="C26" s="27">
        <v>5051892.0999999996</v>
      </c>
      <c r="D26" s="30">
        <v>19.690000000000001</v>
      </c>
      <c r="E26" s="30">
        <v>0.15</v>
      </c>
      <c r="F26" s="30">
        <f t="shared" si="0"/>
        <v>338.38</v>
      </c>
      <c r="G26" s="30">
        <v>19.540000000000003</v>
      </c>
      <c r="H26" s="33">
        <v>318.83999999999997</v>
      </c>
    </row>
    <row r="27" spans="1:8">
      <c r="A27" s="26" t="s">
        <v>12</v>
      </c>
      <c r="B27" s="27">
        <v>1304967.7</v>
      </c>
      <c r="C27" s="27">
        <v>5053085.5999999996</v>
      </c>
      <c r="D27" s="30">
        <v>19.84</v>
      </c>
      <c r="E27" s="30">
        <v>-0.63</v>
      </c>
      <c r="F27" s="30">
        <f t="shared" si="0"/>
        <v>349.01900000000001</v>
      </c>
      <c r="G27" s="30">
        <v>20.47</v>
      </c>
      <c r="H27" s="33">
        <v>328.54899999999998</v>
      </c>
    </row>
    <row r="28" spans="1:8">
      <c r="A28" s="26" t="s">
        <v>14</v>
      </c>
      <c r="B28" s="27">
        <v>1307835.3999999999</v>
      </c>
      <c r="C28" s="27">
        <v>5042978.8</v>
      </c>
      <c r="D28" s="30">
        <v>31.33</v>
      </c>
      <c r="E28" s="30">
        <v>0.3</v>
      </c>
      <c r="F28" s="30">
        <f t="shared" si="0"/>
        <v>345.19299999999998</v>
      </c>
      <c r="G28" s="30">
        <v>31.029999999999998</v>
      </c>
      <c r="H28" s="33">
        <v>314.16300000000001</v>
      </c>
    </row>
    <row r="29" spans="1:8">
      <c r="A29" s="26" t="s">
        <v>178</v>
      </c>
      <c r="B29" s="27">
        <v>1305557.8999999999</v>
      </c>
      <c r="C29" s="27">
        <v>5053628.3</v>
      </c>
      <c r="D29" s="30">
        <v>33.54</v>
      </c>
      <c r="E29" s="30">
        <v>-0.7</v>
      </c>
      <c r="F29" s="30">
        <f t="shared" si="0"/>
        <v>364.37099999999998</v>
      </c>
      <c r="G29" s="30">
        <v>34.24</v>
      </c>
      <c r="H29" s="33">
        <v>330.13099999999997</v>
      </c>
    </row>
    <row r="30" spans="1:8">
      <c r="A30" s="26" t="s">
        <v>186</v>
      </c>
      <c r="B30" s="27">
        <v>1299976.2</v>
      </c>
      <c r="C30" s="27">
        <v>5047795.4000000004</v>
      </c>
      <c r="D30" s="30">
        <v>23.75</v>
      </c>
      <c r="E30" s="30">
        <v>0</v>
      </c>
      <c r="F30" s="30">
        <f t="shared" si="0"/>
        <v>297.41000000000003</v>
      </c>
      <c r="G30" s="30">
        <v>0</v>
      </c>
      <c r="H30" s="33">
        <v>297.41000000000003</v>
      </c>
    </row>
    <row r="31" spans="1:8">
      <c r="A31" s="26" t="s">
        <v>25</v>
      </c>
      <c r="B31" s="27">
        <v>1302257.6000000001</v>
      </c>
      <c r="C31" s="27">
        <v>5051550.7</v>
      </c>
      <c r="D31" s="30">
        <v>22.08</v>
      </c>
      <c r="E31" s="30">
        <v>0.32</v>
      </c>
      <c r="F31" s="30">
        <f t="shared" si="0"/>
        <v>340.85399999999998</v>
      </c>
      <c r="G31" s="30">
        <v>21.759999999999998</v>
      </c>
      <c r="H31" s="33">
        <v>319.09399999999999</v>
      </c>
    </row>
    <row r="32" spans="1:8">
      <c r="A32" s="26" t="s">
        <v>208</v>
      </c>
      <c r="B32" s="27">
        <v>1301984.5</v>
      </c>
      <c r="C32" s="27">
        <v>5049851.3</v>
      </c>
      <c r="D32" s="30">
        <v>-4.3</v>
      </c>
      <c r="E32" s="30">
        <v>0</v>
      </c>
      <c r="F32" s="30">
        <f t="shared" si="0"/>
        <v>326.14</v>
      </c>
      <c r="G32" s="30">
        <v>0</v>
      </c>
      <c r="H32" s="33">
        <v>326.14</v>
      </c>
    </row>
    <row r="33" spans="1:8">
      <c r="A33" s="26" t="s">
        <v>9</v>
      </c>
      <c r="B33" s="27">
        <v>1302511.3</v>
      </c>
      <c r="C33" s="27">
        <v>5047564.8</v>
      </c>
      <c r="D33" s="30">
        <v>19.46</v>
      </c>
      <c r="E33" s="30">
        <v>-0.6</v>
      </c>
      <c r="F33" s="30">
        <f t="shared" si="0"/>
        <v>321.62900000000002</v>
      </c>
      <c r="G33" s="30">
        <v>20.060000000000002</v>
      </c>
      <c r="H33" s="33">
        <v>301.56900000000002</v>
      </c>
    </row>
    <row r="34" spans="1:8">
      <c r="A34" s="26" t="s">
        <v>306</v>
      </c>
      <c r="B34" s="27">
        <v>1306137.3999999999</v>
      </c>
      <c r="C34" s="27">
        <v>5051748.3</v>
      </c>
      <c r="D34" s="30">
        <v>22.08</v>
      </c>
      <c r="E34" s="30">
        <v>0.3</v>
      </c>
      <c r="F34" s="30">
        <f t="shared" si="0"/>
        <v>349.53300000000002</v>
      </c>
      <c r="G34" s="30">
        <v>21.779999999999998</v>
      </c>
      <c r="H34" s="33">
        <v>327.75300000000004</v>
      </c>
    </row>
    <row r="35" spans="1:8">
      <c r="A35" s="26" t="s">
        <v>35</v>
      </c>
      <c r="B35" s="27">
        <v>1303682.7</v>
      </c>
      <c r="C35" s="27">
        <v>5051520.5999999996</v>
      </c>
      <c r="D35" s="30">
        <v>14.37</v>
      </c>
      <c r="E35" s="30">
        <v>0.23</v>
      </c>
      <c r="F35" s="30">
        <f t="shared" si="0"/>
        <v>337.541</v>
      </c>
      <c r="G35" s="30">
        <v>14.139999999999999</v>
      </c>
      <c r="H35" s="33">
        <v>323.40100000000001</v>
      </c>
    </row>
    <row r="36" spans="1:8">
      <c r="A36" s="26" t="s">
        <v>7</v>
      </c>
      <c r="B36" s="27">
        <v>1306067.7</v>
      </c>
      <c r="C36" s="27">
        <v>5048089.5</v>
      </c>
      <c r="D36" s="30">
        <v>13</v>
      </c>
      <c r="E36" s="30">
        <v>-0.6</v>
      </c>
      <c r="F36" s="30">
        <f t="shared" si="0"/>
        <v>336.93400000000003</v>
      </c>
      <c r="G36" s="30">
        <v>13.6</v>
      </c>
      <c r="H36" s="33">
        <v>323.334</v>
      </c>
    </row>
    <row r="37" spans="1:8">
      <c r="A37" s="26" t="s">
        <v>15</v>
      </c>
      <c r="B37" s="27">
        <v>1306664.3999999999</v>
      </c>
      <c r="C37" s="27">
        <v>5049265.7</v>
      </c>
      <c r="D37" s="30">
        <v>32.270000000000003</v>
      </c>
      <c r="E37" s="30">
        <v>-0.6</v>
      </c>
      <c r="F37" s="30">
        <f t="shared" si="0"/>
        <v>359.28500000000003</v>
      </c>
      <c r="G37" s="30">
        <v>32.870000000000005</v>
      </c>
      <c r="H37" s="33">
        <v>326.41500000000002</v>
      </c>
    </row>
    <row r="38" spans="1:8">
      <c r="A38" s="26" t="s">
        <v>228</v>
      </c>
      <c r="B38" s="27">
        <v>1300336.8</v>
      </c>
      <c r="C38" s="27">
        <v>5047269.2</v>
      </c>
      <c r="D38" s="30">
        <v>21.53</v>
      </c>
      <c r="E38" s="30">
        <v>0</v>
      </c>
      <c r="F38" s="30">
        <f t="shared" si="0"/>
        <v>296.02999999999997</v>
      </c>
      <c r="G38" s="30">
        <v>0</v>
      </c>
      <c r="H38" s="33">
        <v>296.02999999999997</v>
      </c>
    </row>
    <row r="39" spans="1:8">
      <c r="A39" s="26" t="s">
        <v>6</v>
      </c>
      <c r="B39" s="27">
        <v>1305738</v>
      </c>
      <c r="C39" s="27">
        <v>5048781.8</v>
      </c>
      <c r="D39" s="30">
        <v>10.85</v>
      </c>
      <c r="E39" s="30">
        <v>-0.6</v>
      </c>
      <c r="F39" s="30">
        <f t="shared" si="0"/>
        <v>336.42099999999999</v>
      </c>
      <c r="G39" s="30">
        <v>11.45</v>
      </c>
      <c r="H39" s="33">
        <v>324.971</v>
      </c>
    </row>
    <row r="40" spans="1:8">
      <c r="A40" s="26" t="s">
        <v>16</v>
      </c>
      <c r="B40" s="27">
        <v>1303566.3</v>
      </c>
      <c r="C40" s="27">
        <v>5048821.5</v>
      </c>
      <c r="D40" s="30">
        <v>9.5500000000000007</v>
      </c>
      <c r="E40" s="30">
        <v>0.4</v>
      </c>
      <c r="F40" s="30">
        <f t="shared" si="0"/>
        <v>327.928</v>
      </c>
      <c r="G40" s="30">
        <v>9.15</v>
      </c>
      <c r="H40" s="33">
        <v>318.77800000000002</v>
      </c>
    </row>
    <row r="41" spans="1:8">
      <c r="A41" s="26" t="s">
        <v>308</v>
      </c>
      <c r="B41" s="27">
        <v>1304944.1000000001</v>
      </c>
      <c r="C41" s="27">
        <v>5047695.5</v>
      </c>
      <c r="D41" s="30">
        <v>10.955</v>
      </c>
      <c r="E41" s="30">
        <v>-0.62</v>
      </c>
      <c r="F41" s="30">
        <f t="shared" si="0"/>
        <v>332.548</v>
      </c>
      <c r="G41" s="30">
        <v>11.574999999999999</v>
      </c>
      <c r="H41" s="33">
        <v>320.97300000000001</v>
      </c>
    </row>
    <row r="42" spans="1:8">
      <c r="A42" s="26" t="s">
        <v>31</v>
      </c>
      <c r="B42" s="27">
        <v>1300563.7</v>
      </c>
      <c r="C42" s="27">
        <v>5047749.7</v>
      </c>
      <c r="D42" s="30">
        <v>22.13</v>
      </c>
      <c r="E42" s="30">
        <v>-0.61</v>
      </c>
      <c r="F42" s="30">
        <f t="shared" si="0"/>
        <v>322.09500000000003</v>
      </c>
      <c r="G42" s="30">
        <v>22.74</v>
      </c>
      <c r="H42" s="33">
        <v>299.35500000000002</v>
      </c>
    </row>
    <row r="43" spans="1:8">
      <c r="A43" s="26" t="s">
        <v>26</v>
      </c>
      <c r="B43" s="27">
        <v>1302085.8999999999</v>
      </c>
      <c r="C43" s="27">
        <v>5052433.3</v>
      </c>
      <c r="D43" s="30">
        <v>35.99</v>
      </c>
      <c r="E43" s="30">
        <v>0.8</v>
      </c>
      <c r="F43" s="30">
        <f t="shared" si="0"/>
        <v>358.21199999999999</v>
      </c>
      <c r="G43" s="30">
        <v>35.190000000000005</v>
      </c>
      <c r="H43" s="33">
        <v>323.02199999999999</v>
      </c>
    </row>
    <row r="44" spans="1:8">
      <c r="A44" s="26" t="s">
        <v>262</v>
      </c>
      <c r="B44" s="27">
        <v>1302670.3999999999</v>
      </c>
      <c r="C44" s="27">
        <v>5050812.4000000004</v>
      </c>
      <c r="D44" s="30">
        <v>1.45</v>
      </c>
      <c r="E44" s="30">
        <v>-0.8</v>
      </c>
      <c r="F44" s="30">
        <f t="shared" si="0"/>
        <v>320.22899999999998</v>
      </c>
      <c r="G44" s="30">
        <v>2.25</v>
      </c>
      <c r="H44" s="33">
        <v>317.97899999999998</v>
      </c>
    </row>
    <row r="45" spans="1:8">
      <c r="A45" s="26" t="s">
        <v>405</v>
      </c>
      <c r="B45" s="27">
        <v>1306060.5</v>
      </c>
      <c r="C45" s="27">
        <v>5046938.5999999996</v>
      </c>
      <c r="D45" s="30">
        <v>42.42</v>
      </c>
      <c r="E45" s="30">
        <v>-0.7</v>
      </c>
      <c r="F45" s="30">
        <f t="shared" si="0"/>
        <v>355.6</v>
      </c>
      <c r="G45" s="30">
        <v>43.120000000000005</v>
      </c>
      <c r="H45" s="33">
        <v>312.48</v>
      </c>
    </row>
    <row r="46" spans="1:8">
      <c r="A46" s="26" t="s">
        <v>10</v>
      </c>
      <c r="B46" s="27">
        <v>1302496.5</v>
      </c>
      <c r="C46" s="27">
        <v>5047324.5999999996</v>
      </c>
      <c r="D46" s="30">
        <v>18.02</v>
      </c>
      <c r="E46" s="30">
        <v>0.3</v>
      </c>
      <c r="F46" s="30">
        <f t="shared" si="0"/>
        <v>318.45600000000002</v>
      </c>
      <c r="G46" s="30">
        <v>17.72</v>
      </c>
      <c r="H46" s="33">
        <v>300.73599999999999</v>
      </c>
    </row>
    <row r="47" spans="1:8">
      <c r="A47" s="26" t="s">
        <v>411</v>
      </c>
      <c r="B47" s="27">
        <v>1302775.3999999999</v>
      </c>
      <c r="C47" s="27">
        <v>5047748.0999999996</v>
      </c>
      <c r="D47" s="30">
        <v>23.09</v>
      </c>
      <c r="E47" s="30">
        <v>0.19</v>
      </c>
      <c r="F47" s="30">
        <f t="shared" si="0"/>
        <v>324.5</v>
      </c>
      <c r="G47" s="30">
        <v>22.9</v>
      </c>
      <c r="H47" s="33">
        <v>301.60000000000002</v>
      </c>
    </row>
    <row r="48" spans="1:8">
      <c r="A48" s="26" t="s">
        <v>275</v>
      </c>
      <c r="B48" s="27">
        <v>1302352.54</v>
      </c>
      <c r="C48" s="27">
        <v>5049033.18</v>
      </c>
      <c r="D48" s="30">
        <v>0</v>
      </c>
      <c r="E48" s="30">
        <v>0</v>
      </c>
      <c r="F48" s="30">
        <f t="shared" si="0"/>
        <v>621.55399999999997</v>
      </c>
      <c r="G48" s="30">
        <v>310.77699999999999</v>
      </c>
      <c r="H48" s="33">
        <v>310.77699999999999</v>
      </c>
    </row>
    <row r="49" spans="1:8">
      <c r="A49" s="26" t="s">
        <v>273</v>
      </c>
      <c r="B49" s="27">
        <v>1302426.2</v>
      </c>
      <c r="C49" s="27">
        <v>5053642.12</v>
      </c>
      <c r="D49" s="30">
        <v>0</v>
      </c>
      <c r="E49" s="30">
        <v>0</v>
      </c>
      <c r="F49" s="30">
        <f t="shared" si="0"/>
        <v>680.98400000000004</v>
      </c>
      <c r="G49" s="30">
        <v>340.49200000000002</v>
      </c>
      <c r="H49" s="33">
        <v>340.49200000000002</v>
      </c>
    </row>
    <row r="50" spans="1:8">
      <c r="A50" s="26" t="s">
        <v>307</v>
      </c>
      <c r="B50" s="27">
        <v>1305381.5</v>
      </c>
      <c r="C50" s="27">
        <v>5047623.7</v>
      </c>
      <c r="D50" s="30">
        <v>11.63</v>
      </c>
      <c r="E50" s="30">
        <v>-0.14000000000000001</v>
      </c>
      <c r="F50" s="30">
        <f t="shared" si="0"/>
        <v>332.87400000000002</v>
      </c>
      <c r="G50" s="30">
        <v>11.770000000000001</v>
      </c>
      <c r="H50" s="33">
        <v>321.10400000000004</v>
      </c>
    </row>
    <row r="51" spans="1:8">
      <c r="A51" s="26" t="s">
        <v>266</v>
      </c>
      <c r="B51" s="27">
        <v>1305457.95</v>
      </c>
      <c r="C51" s="27">
        <v>5042345.41</v>
      </c>
      <c r="D51" s="30">
        <v>0</v>
      </c>
      <c r="E51" s="30">
        <v>0</v>
      </c>
      <c r="F51" s="30">
        <f t="shared" si="0"/>
        <v>540</v>
      </c>
      <c r="G51" s="30">
        <v>270</v>
      </c>
      <c r="H51" s="33">
        <v>270</v>
      </c>
    </row>
    <row r="52" spans="1:8">
      <c r="A52" s="26" t="s">
        <v>265</v>
      </c>
      <c r="B52" s="27">
        <v>1305597.8189999999</v>
      </c>
      <c r="C52" s="27">
        <v>5042338.6040000003</v>
      </c>
      <c r="D52" s="30">
        <v>0</v>
      </c>
      <c r="E52" s="30">
        <v>0</v>
      </c>
      <c r="F52" s="30">
        <f t="shared" si="0"/>
        <v>538</v>
      </c>
      <c r="G52" s="30">
        <v>269</v>
      </c>
      <c r="H52" s="33">
        <v>269</v>
      </c>
    </row>
    <row r="53" spans="1:8">
      <c r="A53" s="26" t="s">
        <v>408</v>
      </c>
      <c r="B53" s="27">
        <v>1302282.6510000001</v>
      </c>
      <c r="C53" s="27">
        <v>5043773.7189999996</v>
      </c>
      <c r="D53" s="30">
        <v>0</v>
      </c>
      <c r="E53" s="30">
        <v>0</v>
      </c>
      <c r="F53" s="30">
        <f t="shared" si="0"/>
        <v>544</v>
      </c>
      <c r="G53" s="30">
        <v>272</v>
      </c>
      <c r="H53" s="33">
        <v>272</v>
      </c>
    </row>
    <row r="54" spans="1:8">
      <c r="A54" s="26" t="s">
        <v>407</v>
      </c>
      <c r="B54" s="27">
        <v>1301091.5120000001</v>
      </c>
      <c r="C54" s="27">
        <v>5044175.3329999996</v>
      </c>
      <c r="D54" s="30">
        <v>0</v>
      </c>
      <c r="E54" s="30">
        <v>0</v>
      </c>
      <c r="F54" s="30">
        <f t="shared" si="0"/>
        <v>560</v>
      </c>
      <c r="G54" s="30">
        <v>280</v>
      </c>
      <c r="H54" s="33">
        <v>280</v>
      </c>
    </row>
    <row r="55" spans="1:8">
      <c r="A55" s="26" t="s">
        <v>267</v>
      </c>
      <c r="B55" s="27">
        <v>1305043.8999999999</v>
      </c>
      <c r="C55" s="27">
        <v>5042220.46</v>
      </c>
      <c r="D55" s="30">
        <v>0</v>
      </c>
      <c r="E55" s="30">
        <v>0</v>
      </c>
      <c r="F55" s="30">
        <f t="shared" si="0"/>
        <v>542</v>
      </c>
      <c r="G55" s="30">
        <v>271</v>
      </c>
      <c r="H55" s="33">
        <v>271</v>
      </c>
    </row>
    <row r="56" spans="1:8">
      <c r="A56" s="26" t="s">
        <v>406</v>
      </c>
      <c r="B56" s="27">
        <v>1305072.7</v>
      </c>
      <c r="C56" s="27">
        <v>5047002</v>
      </c>
      <c r="D56" s="30">
        <v>55.87</v>
      </c>
      <c r="E56" s="30">
        <v>0.2</v>
      </c>
      <c r="F56" s="30">
        <f t="shared" si="0"/>
        <v>351</v>
      </c>
      <c r="G56" s="30">
        <v>55.669999999999995</v>
      </c>
      <c r="H56" s="33">
        <v>295.33</v>
      </c>
    </row>
    <row r="57" spans="1:8">
      <c r="A57" s="28" t="s">
        <v>412</v>
      </c>
      <c r="B57" s="29">
        <v>1303557.808</v>
      </c>
      <c r="C57" s="29">
        <v>5043424.92</v>
      </c>
      <c r="D57" s="31">
        <v>0</v>
      </c>
      <c r="E57" s="31">
        <v>0</v>
      </c>
      <c r="F57" s="31">
        <f t="shared" si="0"/>
        <v>547.4</v>
      </c>
      <c r="G57" s="31">
        <v>273.7</v>
      </c>
      <c r="H57" s="34">
        <v>273.7</v>
      </c>
    </row>
  </sheetData>
  <sortState ref="A2:I57">
    <sortCondition ref="A2:A5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Measuring Points</vt:lpstr>
      <vt:lpstr>Final</vt:lpstr>
      <vt:lpstr>Sheet3</vt:lpstr>
      <vt:lpstr>Ross</vt:lpstr>
      <vt:lpstr>Appendix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2012-03-07T04:31:14Z</dcterms:modified>
</cp:coreProperties>
</file>